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Moritz\iCloudDrive\Uni\WiSe 19_20\IT-Praktikum\Rechnungsvorlage\Excel\"/>
    </mc:Choice>
  </mc:AlternateContent>
  <xr:revisionPtr revIDLastSave="0" documentId="8_{180FAF74-9CC7-468F-98A2-0111397AB1F9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Rechnungsvorlage" sheetId="1" r:id="rId1"/>
  </sheets>
  <definedNames>
    <definedName name="Hi">Rechnungsvorlage!#REF!</definedName>
    <definedName name="LVI">Rechnungsvorlage!#REF!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I230" i="1" l="1"/>
  <c r="A230" i="1"/>
  <c r="I229" i="1"/>
  <c r="A229" i="1"/>
  <c r="I228" i="1"/>
  <c r="A228" i="1"/>
  <c r="I227" i="1"/>
  <c r="A227" i="1"/>
  <c r="I226" i="1"/>
  <c r="A226" i="1"/>
  <c r="I225" i="1"/>
  <c r="A225" i="1"/>
  <c r="I224" i="1"/>
  <c r="A224" i="1"/>
  <c r="I223" i="1"/>
  <c r="A223" i="1"/>
  <c r="I222" i="1"/>
  <c r="A222" i="1"/>
  <c r="I221" i="1"/>
  <c r="A221" i="1"/>
  <c r="I220" i="1"/>
  <c r="A220" i="1"/>
  <c r="I219" i="1"/>
  <c r="A219" i="1"/>
  <c r="I218" i="1"/>
  <c r="A218" i="1"/>
  <c r="I217" i="1"/>
  <c r="A217" i="1"/>
  <c r="I216" i="1"/>
  <c r="A216" i="1"/>
  <c r="I215" i="1"/>
  <c r="A215" i="1"/>
  <c r="I214" i="1"/>
  <c r="A214" i="1"/>
  <c r="I213" i="1"/>
  <c r="A213" i="1"/>
  <c r="I212" i="1"/>
  <c r="A212" i="1"/>
  <c r="I211" i="1"/>
  <c r="A211" i="1"/>
  <c r="I210" i="1"/>
  <c r="A210" i="1"/>
  <c r="I209" i="1"/>
  <c r="A209" i="1"/>
  <c r="I208" i="1"/>
  <c r="A208" i="1"/>
  <c r="I207" i="1"/>
  <c r="A207" i="1"/>
  <c r="O206" i="1"/>
  <c r="I206" i="1"/>
  <c r="A206" i="1"/>
  <c r="AA202" i="1"/>
  <c r="BO202" i="1" s="1"/>
  <c r="G202" i="1"/>
  <c r="BM202" i="1" s="1"/>
  <c r="A199" i="1"/>
  <c r="CC198" i="1"/>
  <c r="BE198" i="1"/>
  <c r="BK198" i="1" s="1"/>
  <c r="AU198" i="1"/>
  <c r="S198" i="1"/>
  <c r="A198" i="1"/>
  <c r="CC197" i="1"/>
  <c r="BE197" i="1"/>
  <c r="BK197" i="1" s="1"/>
  <c r="AU197" i="1"/>
  <c r="S197" i="1"/>
  <c r="A197" i="1"/>
  <c r="CC196" i="1"/>
  <c r="BE196" i="1"/>
  <c r="BK196" i="1" s="1"/>
  <c r="AU196" i="1"/>
  <c r="S196" i="1"/>
  <c r="A196" i="1"/>
  <c r="CC195" i="1"/>
  <c r="BE195" i="1"/>
  <c r="BK195" i="1" s="1"/>
  <c r="AU195" i="1"/>
  <c r="S195" i="1"/>
  <c r="A195" i="1"/>
  <c r="CC194" i="1"/>
  <c r="BE194" i="1"/>
  <c r="BK194" i="1" s="1"/>
  <c r="AU194" i="1"/>
  <c r="S194" i="1"/>
  <c r="A194" i="1"/>
  <c r="CC193" i="1"/>
  <c r="BE193" i="1"/>
  <c r="BK193" i="1" s="1"/>
  <c r="AU193" i="1"/>
  <c r="S193" i="1"/>
  <c r="A193" i="1"/>
  <c r="CC192" i="1"/>
  <c r="BE192" i="1"/>
  <c r="BK192" i="1" s="1"/>
  <c r="AU192" i="1"/>
  <c r="S192" i="1"/>
  <c r="A192" i="1"/>
  <c r="CC191" i="1"/>
  <c r="BE191" i="1"/>
  <c r="BK191" i="1" s="1"/>
  <c r="AU191" i="1"/>
  <c r="S191" i="1"/>
  <c r="A191" i="1"/>
  <c r="CC190" i="1"/>
  <c r="BE190" i="1"/>
  <c r="BK190" i="1" s="1"/>
  <c r="AU190" i="1"/>
  <c r="S190" i="1"/>
  <c r="A190" i="1"/>
  <c r="CC189" i="1"/>
  <c r="BE189" i="1"/>
  <c r="BK189" i="1" s="1"/>
  <c r="AU189" i="1"/>
  <c r="S189" i="1"/>
  <c r="A189" i="1"/>
  <c r="CC188" i="1"/>
  <c r="BE188" i="1"/>
  <c r="BK188" i="1" s="1"/>
  <c r="AU188" i="1"/>
  <c r="S188" i="1"/>
  <c r="A188" i="1"/>
  <c r="CC187" i="1"/>
  <c r="BE187" i="1"/>
  <c r="BK187" i="1" s="1"/>
  <c r="AU187" i="1"/>
  <c r="S187" i="1"/>
  <c r="A187" i="1"/>
  <c r="CC186" i="1"/>
  <c r="BE186" i="1"/>
  <c r="BK186" i="1" s="1"/>
  <c r="AU186" i="1"/>
  <c r="S186" i="1"/>
  <c r="A186" i="1"/>
  <c r="CC185" i="1"/>
  <c r="BE185" i="1"/>
  <c r="BK185" i="1" s="1"/>
  <c r="AU185" i="1"/>
  <c r="S185" i="1"/>
  <c r="A185" i="1"/>
  <c r="CC184" i="1"/>
  <c r="BE184" i="1"/>
  <c r="BK184" i="1" s="1"/>
  <c r="AU184" i="1"/>
  <c r="S184" i="1"/>
  <c r="A184" i="1"/>
  <c r="CC183" i="1"/>
  <c r="BE183" i="1"/>
  <c r="BK183" i="1" s="1"/>
  <c r="AU183" i="1"/>
  <c r="S183" i="1"/>
  <c r="A183" i="1"/>
  <c r="CC182" i="1"/>
  <c r="BE182" i="1"/>
  <c r="BK182" i="1" s="1"/>
  <c r="AU182" i="1"/>
  <c r="S182" i="1"/>
  <c r="A182" i="1"/>
  <c r="CC181" i="1"/>
  <c r="BE181" i="1"/>
  <c r="BK181" i="1" s="1"/>
  <c r="AU181" i="1"/>
  <c r="S181" i="1"/>
  <c r="A181" i="1"/>
  <c r="CC180" i="1"/>
  <c r="BE180" i="1"/>
  <c r="BK180" i="1" s="1"/>
  <c r="AU180" i="1"/>
  <c r="S180" i="1"/>
  <c r="A180" i="1"/>
  <c r="CC179" i="1"/>
  <c r="BE179" i="1"/>
  <c r="BK179" i="1" s="1"/>
  <c r="AU179" i="1"/>
  <c r="S179" i="1"/>
  <c r="A179" i="1"/>
  <c r="CC178" i="1"/>
  <c r="BE178" i="1"/>
  <c r="BK178" i="1" s="1"/>
  <c r="AU178" i="1"/>
  <c r="S178" i="1"/>
  <c r="A178" i="1"/>
  <c r="CC177" i="1"/>
  <c r="BE177" i="1"/>
  <c r="BK177" i="1" s="1"/>
  <c r="AU177" i="1"/>
  <c r="S177" i="1"/>
  <c r="A177" i="1"/>
  <c r="CC176" i="1"/>
  <c r="BE176" i="1"/>
  <c r="BK176" i="1" s="1"/>
  <c r="AU176" i="1"/>
  <c r="S176" i="1"/>
  <c r="A176" i="1"/>
  <c r="CC175" i="1"/>
  <c r="BE175" i="1"/>
  <c r="BK175" i="1" s="1"/>
  <c r="AU175" i="1"/>
  <c r="S175" i="1"/>
  <c r="A175" i="1"/>
  <c r="CC174" i="1"/>
  <c r="BE174" i="1"/>
  <c r="BK174" i="1" s="1"/>
  <c r="AU174" i="1"/>
  <c r="S174" i="1"/>
  <c r="A174" i="1"/>
  <c r="BS181" i="1" l="1"/>
  <c r="BW181" i="1" s="1"/>
  <c r="BS185" i="1"/>
  <c r="BW185" i="1" s="1"/>
  <c r="BS189" i="1"/>
  <c r="BW189" i="1" s="1"/>
  <c r="BS193" i="1"/>
  <c r="BW193" i="1" s="1"/>
  <c r="BS197" i="1"/>
  <c r="BW197" i="1" s="1"/>
  <c r="BS174" i="1"/>
  <c r="BW174" i="1" s="1"/>
  <c r="BS178" i="1"/>
  <c r="BW178" i="1" s="1"/>
  <c r="BS182" i="1"/>
  <c r="BW182" i="1" s="1"/>
  <c r="BS186" i="1"/>
  <c r="BW186" i="1" s="1"/>
  <c r="BS190" i="1"/>
  <c r="BW190" i="1" s="1"/>
  <c r="BS194" i="1"/>
  <c r="BW194" i="1" s="1"/>
  <c r="BS198" i="1"/>
  <c r="BW198" i="1" s="1"/>
  <c r="BS175" i="1"/>
  <c r="BW175" i="1" s="1"/>
  <c r="BS179" i="1"/>
  <c r="BW179" i="1" s="1"/>
  <c r="BS183" i="1"/>
  <c r="BW183" i="1" s="1"/>
  <c r="BS187" i="1"/>
  <c r="BW187" i="1" s="1"/>
  <c r="BS191" i="1"/>
  <c r="BW191" i="1" s="1"/>
  <c r="BS195" i="1"/>
  <c r="BW195" i="1" s="1"/>
  <c r="BS177" i="1"/>
  <c r="BW177" i="1" s="1"/>
  <c r="BS176" i="1"/>
  <c r="BW176" i="1" s="1"/>
  <c r="BS180" i="1"/>
  <c r="BW180" i="1" s="1"/>
  <c r="BS184" i="1"/>
  <c r="BW184" i="1" s="1"/>
  <c r="BS188" i="1"/>
  <c r="BW188" i="1" s="1"/>
  <c r="BS192" i="1"/>
  <c r="BW192" i="1" s="1"/>
  <c r="BS196" i="1"/>
  <c r="BW196" i="1" s="1"/>
  <c r="AG202" i="1"/>
  <c r="BK202" i="1"/>
  <c r="M202" i="1"/>
  <c r="BQ202" i="1" l="1"/>
  <c r="BS202" i="1"/>
  <c r="BW202" i="1" s="1"/>
  <c r="CC202" i="1" s="1"/>
</calcChain>
</file>

<file path=xl/sharedStrings.xml><?xml version="1.0" encoding="utf-8"?>
<sst xmlns="http://schemas.openxmlformats.org/spreadsheetml/2006/main" count="1517" uniqueCount="366">
  <si>
    <t>Bruttopreis</t>
  </si>
  <si>
    <t>Steuerbetr.</t>
  </si>
  <si>
    <t>USt.-Satz (BT-152)</t>
  </si>
  <si>
    <t>Menge* (BT-129)</t>
  </si>
  <si>
    <t>Maßeinheit* (BT-130)</t>
  </si>
  <si>
    <t>Nettopreis* (BT-131)</t>
  </si>
  <si>
    <t>USt.-Code* (BT-151)</t>
  </si>
  <si>
    <t>Name* (BT-153)</t>
  </si>
  <si>
    <t>Beginn Rechnungszeitraum (BT-134)</t>
  </si>
  <si>
    <t>Ende Rechnungszeitraum (BT-135)</t>
  </si>
  <si>
    <t>Bemerkung (BT-127)</t>
  </si>
  <si>
    <t>Object Identifier (BT-128)</t>
  </si>
  <si>
    <t>Nachlassbetrag (%) (BT-138)</t>
  </si>
  <si>
    <t>Nachlassbetrag (€) (BT-136)</t>
  </si>
  <si>
    <t>Nachlassgrund (Code) (BT-140)</t>
  </si>
  <si>
    <t>Abgabebetrag (€) (BT-141)</t>
  </si>
  <si>
    <t>Abgabebetrag (%) (BT-143)</t>
  </si>
  <si>
    <t>Abgabengrund (Code) (BT-145)</t>
  </si>
  <si>
    <t>Rabatt (pro Einheit) (BT-147)</t>
  </si>
  <si>
    <t>Preis (pro Einheit) (BT-148)</t>
  </si>
  <si>
    <t>Menge, für die Postenpreis gilt (BT-149)</t>
  </si>
  <si>
    <t>Maßeinheit (BT-150)</t>
  </si>
  <si>
    <t>Beschreibung (BT-154)</t>
  </si>
  <si>
    <t>Verkäuferkennung (BT-155)</t>
  </si>
  <si>
    <t>Käuferkennung (BT-156)</t>
  </si>
  <si>
    <t>Herkunftsland (Code) (BT-159)</t>
  </si>
  <si>
    <t>Umsatzsteuerkategorie* (BT-118)</t>
  </si>
  <si>
    <t>Summe zu versteuernde Beträge* (BT-116)</t>
  </si>
  <si>
    <t>Umsatzsteuersatz* (BT-119)</t>
  </si>
  <si>
    <t>Zu entrichtender Betrag* (BT-117)</t>
  </si>
  <si>
    <t>Nettogesamtbetrag* (BT-106)</t>
  </si>
  <si>
    <t>Nettopreis ohne Abgaben/Nachlässe</t>
  </si>
  <si>
    <t>Gesamtbetrag der Umsatzsteuer (BT-110)</t>
  </si>
  <si>
    <t>Summe bereits gezahlter Beträge (BT-113)</t>
  </si>
  <si>
    <t>Rundungsbetrag (BT-114)</t>
  </si>
  <si>
    <t>Ausstehender Betrag* (BT-115)</t>
  </si>
  <si>
    <t>Nachlassprozentsatz (BT-94)</t>
  </si>
  <si>
    <t>USt.-Satz (BT-96)</t>
  </si>
  <si>
    <t>Nachlassgrund (BT-97)</t>
  </si>
  <si>
    <t>Code des Nachlassgrunds (BT-98)</t>
  </si>
  <si>
    <t>USt.-Code der Nachlässe* (BT-95)</t>
  </si>
  <si>
    <t>&lt;Nachlaesse_Abgaben_Gesamt</t>
  </si>
  <si>
    <t>&gt;</t>
  </si>
  <si>
    <t>Nachlass der USt.</t>
  </si>
  <si>
    <t>USt. für Abgaben</t>
  </si>
  <si>
    <t>Grundbetrag für Nachlass* (BT-137)</t>
  </si>
  <si>
    <t>Grundbetrag für Abgabe* (BT-142)</t>
  </si>
  <si>
    <t>Rechnungspositionen (Grau hinterlegte Zellen werden automatisch berechnet und sollen deshalb nicht bearbeitet werden)</t>
  </si>
  <si>
    <t>&gt;&lt;BT-120</t>
  </si>
  <si>
    <t>Postenerkennung (BT-157)</t>
  </si>
  <si>
    <t>Klassifizierung des Postens nach Typ (BT-158)</t>
  </si>
  <si>
    <t>&gt;&gt;</t>
  </si>
  <si>
    <t>Grund für den Nachlass (BT-139)</t>
  </si>
  <si>
    <t>Abgabengrund (Text) (BT-144)</t>
  </si>
  <si>
    <t>Abgabenprozentsatz (BT-101)</t>
  </si>
  <si>
    <t>Nachlassbetrag* (BT-92)</t>
  </si>
  <si>
    <t>Abgabenbetrag* (BT-99)</t>
  </si>
  <si>
    <t>USt.-Code der Abgaben* (BT-102)</t>
  </si>
  <si>
    <t>USt.-Satz (BT-103)</t>
  </si>
  <si>
    <t>Abgabengrund (BT-104)</t>
  </si>
  <si>
    <t>Code des Abgabengrunds (BT-105)</t>
  </si>
  <si>
    <t>Summe aller Nachlässe (BT-107)</t>
  </si>
  <si>
    <t>Summe aller Abgaben (BT-108)</t>
  </si>
  <si>
    <t>Gesamtbetrag der Umsatzsteuer in Abrechnungswährung, falls notwendig (BT-111)</t>
  </si>
  <si>
    <t>Gesamtbetrag der Rechnung ohne USt. (BT-109)*</t>
  </si>
  <si>
    <t>&lt;BG-23&lt;BT-116</t>
  </si>
  <si>
    <t>&gt;&lt;BT-118</t>
  </si>
  <si>
    <t>&gt;&lt;BT-119</t>
  </si>
  <si>
    <t>&gt;&lt;BT-117</t>
  </si>
  <si>
    <t>&gt;&lt;BT-121</t>
  </si>
  <si>
    <t>XRechnung - Vorlage</t>
  </si>
  <si>
    <t>Rechnungsdaten*</t>
  </si>
  <si>
    <t xml:space="preserve">Rechnungsnummer* (BT-1): </t>
  </si>
  <si>
    <t xml:space="preserve">Rechnungstypencode* (BT-3): </t>
  </si>
  <si>
    <t xml:space="preserve">Währung der Rechnung* (BT-5): </t>
  </si>
  <si>
    <t xml:space="preserve">Umsatzsteuer-Abrechnungs-Währung (BT-6): </t>
  </si>
  <si>
    <t xml:space="preserve">Datumscode der Umsatzsteuer (BT-8): </t>
  </si>
  <si>
    <t>Käufer-Referenz* (BT-10):</t>
  </si>
  <si>
    <t>Projektkennung (BT-11):</t>
  </si>
  <si>
    <t>Vertragsbezeichnung/-nummer (BT-12):</t>
  </si>
  <si>
    <t>Kennung für referenzierte Bestellungen (BT-13):</t>
  </si>
  <si>
    <t>Kennung für referenzierte Aufträge (BT-14):</t>
  </si>
  <si>
    <t xml:space="preserve">Kennung für referenzierte Empfangsbestätigung (BT-15): </t>
  </si>
  <si>
    <t>Kennung für referenzierte Versandanzeige (BT-16):</t>
  </si>
  <si>
    <t>Kennung der Ausschreibung/ des Loses (BT-17):</t>
  </si>
  <si>
    <t xml:space="preserve">Rechnungslegungshinweis (BT-19): </t>
  </si>
  <si>
    <t>Zahlungsbedingungen (BT-20):</t>
  </si>
  <si>
    <t xml:space="preserve">Betreff (BT-21): </t>
  </si>
  <si>
    <t>Rechnungsvermerk* (BT-22):</t>
  </si>
  <si>
    <t>Geschäftsprozess-Typ (BT-23):</t>
  </si>
  <si>
    <t>Spezifikationskennung* (BT-24):</t>
  </si>
  <si>
    <t>Kennung der vorrausgegangenen Rechnung* (BT-25):</t>
  </si>
  <si>
    <r>
      <t>Anmerkung</t>
    </r>
    <r>
      <rPr>
        <sz val="8"/>
        <color rgb="FF000000"/>
        <rFont val="Calibri"/>
        <family val="2"/>
        <scheme val="minor"/>
      </rPr>
      <t xml:space="preserve">: Das Informationselement ist zu verwenden, wenn eine vorangegangene Rechnung korrigiert wird, eine Abschlussrechnung auf vorangegangene Teilrechnungen Bezug nimmt oder eine Abschlussrechnung auf vorangegangene Vorauszahlungsrechnungen Bezug nimmt. </t>
    </r>
  </si>
  <si>
    <t>Firma* (BT-27):</t>
  </si>
  <si>
    <t>Handelsname (BT-28):</t>
  </si>
  <si>
    <t>Kennung des Verkäufers (BT-29):</t>
  </si>
  <si>
    <t>Juristische Registrierungskennung (BT-30):</t>
  </si>
  <si>
    <t>Umsatzsteuer-Identifikationsnummer (BT-31):</t>
  </si>
  <si>
    <t>Örtliche steuerrechtliche Kennung (BT-32):</t>
  </si>
  <si>
    <t>Weitere rechtliche Informationen (BT-33):</t>
  </si>
  <si>
    <t>Elektronische Adresse (BT-34):</t>
  </si>
  <si>
    <t xml:space="preserve">Straße/Postfach 1 (BT-35): </t>
  </si>
  <si>
    <t>Straße/Postfach 2 (BT-36):</t>
  </si>
  <si>
    <t>Straße/Postfach 3 (BT-162):</t>
  </si>
  <si>
    <t>Stadt* (BT-37):</t>
  </si>
  <si>
    <t>PLZ* (BT-38):</t>
  </si>
  <si>
    <t>Bundesland (BT-39):</t>
  </si>
  <si>
    <t>Ländercode* (BT-40):</t>
  </si>
  <si>
    <t>Ansprechpartner/Kontaktstelle* (BT-41):</t>
  </si>
  <si>
    <t>Telefonnummer* (BT-42):</t>
  </si>
  <si>
    <t>E-Mail-Adresse* (BT-43):</t>
  </si>
  <si>
    <t>Firma* (BT-44):</t>
  </si>
  <si>
    <t>Handelsname (BT-45):</t>
  </si>
  <si>
    <t>Juristische Registrierungskennung (BT-47):</t>
  </si>
  <si>
    <t>Umsatzsteuer-Identifikationsnummer (BT-48):</t>
  </si>
  <si>
    <t>Elektronische Adresse (BT-49):</t>
  </si>
  <si>
    <t xml:space="preserve">Straße/Postfach 1 (BT-50): </t>
  </si>
  <si>
    <t>Straße/Postfach 2 (BT-51):</t>
  </si>
  <si>
    <t>Straße/Postfach 3 (BT-163):</t>
  </si>
  <si>
    <t>Stadt* (BT-52):</t>
  </si>
  <si>
    <t>PLZ* (BT-53):</t>
  </si>
  <si>
    <t>Bundesland (BT-54):</t>
  </si>
  <si>
    <t>Ländercode* (BT-55):</t>
  </si>
  <si>
    <r>
      <t>Anmerkung</t>
    </r>
    <r>
      <rPr>
        <sz val="8"/>
        <color rgb="FF000000"/>
        <rFont val="Calibri"/>
        <family val="2"/>
        <scheme val="minor"/>
      </rPr>
      <t xml:space="preserve">: Es ist eine gültige vollständige Anschrift anzugeben </t>
    </r>
  </si>
  <si>
    <t>Ansprechpartner/Kontaktstelle (BT-56):</t>
  </si>
  <si>
    <t>Telefonnummer (BT-57):</t>
  </si>
  <si>
    <t>E-Mail-Adresse (BT-58):</t>
  </si>
  <si>
    <t xml:space="preserve">Name* (BT-59): </t>
  </si>
  <si>
    <t>Kennung (BT-60):</t>
  </si>
  <si>
    <t>Juristischer Registrierungskennung (BT-61):</t>
  </si>
  <si>
    <t>Name* (BT-62):</t>
  </si>
  <si>
    <t>Umsatzsteuer-Identifikationsnummer* (BT-63):</t>
  </si>
  <si>
    <t xml:space="preserve">Straße/Postfach 1 (BT-64): </t>
  </si>
  <si>
    <t>Straße/Postfach 2 (BT-65):</t>
  </si>
  <si>
    <t>Straße/Postfach 3 (BT-164):</t>
  </si>
  <si>
    <t>Stadt (BT-66):</t>
  </si>
  <si>
    <t>PLZ (BT-67):</t>
  </si>
  <si>
    <t>Bundesland (BT-68):</t>
  </si>
  <si>
    <t>Ländercode* (BT-69):</t>
  </si>
  <si>
    <t>Empfängername (BT-70):</t>
  </si>
  <si>
    <t>Lieferortsbezeichner (BT-71):</t>
  </si>
  <si>
    <t xml:space="preserve">Straße/Postfach 1 (BT-75): </t>
  </si>
  <si>
    <t>Straße/Postfach 2 (BT-76):</t>
  </si>
  <si>
    <t>Straße/Postfach 3 (BT-165):</t>
  </si>
  <si>
    <t>Stadt* (BT-77):</t>
  </si>
  <si>
    <t>PLZ* (BT-78):</t>
  </si>
  <si>
    <t>Bundesland (BT-79):</t>
  </si>
  <si>
    <t>Ländercode* (BT-80):</t>
  </si>
  <si>
    <t>Zahlungsmittelcode* (BT-81):</t>
  </si>
  <si>
    <t>Zahlungsmittel (Textform) (BT-82):</t>
  </si>
  <si>
    <t>Überweisungsinformationen (BT-83):</t>
  </si>
  <si>
    <t xml:space="preserve">IBAN/Kontonummer* (BT-84): </t>
  </si>
  <si>
    <t>Kontoinhaber (BT-85):</t>
  </si>
  <si>
    <t>Kennung des Konto führenden Kreditinstituts (BT-86):</t>
  </si>
  <si>
    <t xml:space="preserve">Kreditkartennummer* (BT-87): </t>
  </si>
  <si>
    <t>Karteninhaber (BT-88):</t>
  </si>
  <si>
    <t>Mandatsreferenznummer* (BT-89):</t>
  </si>
  <si>
    <t>Gläubiger-ID* (BT-90):</t>
  </si>
  <si>
    <t>IBAN/Kontonummer* (BT-91):</t>
  </si>
  <si>
    <t>Kennung für ein Objekt  (Zählnr./Telefonnr./Kennzeichen/ versicherte Pers./Abonnement-Nr./Rufnr.) (BT-18):</t>
  </si>
  <si>
    <t xml:space="preserve">Ausstellungsdatum* (DD.MM.YYYY) (BT-2): </t>
  </si>
  <si>
    <t>Abrechnungsdatum der Umsatzsteuer (DD.MM.YYYY) (BT-7):</t>
  </si>
  <si>
    <t>Fälligkeitsdatum (DD.MM.YYYY) (BT-9):</t>
  </si>
  <si>
    <t>Ausstellungsdatum (DD.MM.YYYY) (BT-26):</t>
  </si>
  <si>
    <t>Lieferdatum (DD.MM.YYYY) (BT-72):</t>
  </si>
  <si>
    <t>Startdatum des Rechnungszeitraums (DD.MM.YYYY) (BT-73):</t>
  </si>
  <si>
    <t xml:space="preserve">Enddatum des Rechnungszeitraums (DD.MM.YYYY) (BT-74): </t>
  </si>
  <si>
    <t>Rechnungsposition allgemein* (BG-25)</t>
  </si>
  <si>
    <t>Preisdetails* (BG-29)</t>
  </si>
  <si>
    <t>Produktinformationen* (BG-31)</t>
  </si>
  <si>
    <t>Attr. (BG-32)</t>
  </si>
  <si>
    <t>Nachlässe (für Rechnungspos.) (BG-27)</t>
  </si>
  <si>
    <t>USt.* (BG-30)</t>
  </si>
  <si>
    <t>Zeitraum (BG-26)</t>
  </si>
  <si>
    <t>Rechnungspos.* (BT-126)</t>
    <phoneticPr fontId="1" type="noConversion"/>
  </si>
  <si>
    <t>Eigenschaftsname* (z.B. "Farbe") (BT-160)</t>
  </si>
  <si>
    <t>Eigenschaftswert* (z.B. "Rot") (BT-161)</t>
  </si>
  <si>
    <t>Nachlässe auf Dokumentenebene (BG-20)</t>
  </si>
  <si>
    <t>Abgaben auf Dokumentenebene (BG-21)</t>
  </si>
  <si>
    <t>Gesamtbeträge* (BG-22)</t>
  </si>
  <si>
    <t>Umsatzsteueraufschlüsselung (BG-23)</t>
  </si>
  <si>
    <t>Abgaben (für Rechnungspos.) (BG-28)</t>
  </si>
  <si>
    <r>
      <t>Zahlungsempfänger</t>
    </r>
    <r>
      <rPr>
        <b/>
        <sz val="12"/>
        <color rgb="FF000000"/>
        <rFont val="Calibri (Textkörper)"/>
      </rPr>
      <t xml:space="preserve"> (BG-10) (nur ausfüllen, wenn Zahlungsempfänger nicht dem Verkäufer entspricht)</t>
    </r>
  </si>
  <si>
    <r>
      <t>Kontakt</t>
    </r>
    <r>
      <rPr>
        <sz val="11"/>
        <color rgb="FF000000"/>
        <rFont val="Calibri (Textkörper)"/>
      </rPr>
      <t xml:space="preserve"> (BG-9)</t>
    </r>
  </si>
  <si>
    <r>
      <t>Postanschrift*</t>
    </r>
    <r>
      <rPr>
        <sz val="11"/>
        <color rgb="FF000000"/>
        <rFont val="Calibri (Textkörper)"/>
      </rPr>
      <t xml:space="preserve"> (BG-8)</t>
    </r>
  </si>
  <si>
    <r>
      <t>Rechnungsempfänger*</t>
    </r>
    <r>
      <rPr>
        <b/>
        <sz val="12"/>
        <color rgb="FF000000"/>
        <rFont val="Calibri (Textkörper)"/>
      </rPr>
      <t xml:space="preserve"> (BG-7)</t>
    </r>
  </si>
  <si>
    <r>
      <t>Kontakt*</t>
    </r>
    <r>
      <rPr>
        <sz val="11"/>
        <color rgb="FF000000"/>
        <rFont val="Calibri (Textkörper)"/>
      </rPr>
      <t xml:space="preserve"> (BG-6)</t>
    </r>
  </si>
  <si>
    <r>
      <t>Postanschrift*</t>
    </r>
    <r>
      <rPr>
        <sz val="11"/>
        <color rgb="FF000000"/>
        <rFont val="Calibri (Textkörper)"/>
      </rPr>
      <t xml:space="preserve"> (BG-5)</t>
    </r>
  </si>
  <si>
    <r>
      <t>Angaben zum Rechnungssteller*</t>
    </r>
    <r>
      <rPr>
        <b/>
        <sz val="12"/>
        <color rgb="FF000000"/>
        <rFont val="Calibri (Textkörper)"/>
      </rPr>
      <t xml:space="preserve"> (BG-4)</t>
    </r>
  </si>
  <si>
    <r>
      <t>Information über vorrausgegangene Rechnung</t>
    </r>
    <r>
      <rPr>
        <b/>
        <sz val="12"/>
        <color rgb="FF000000"/>
        <rFont val="Calibri (Textkörper)"/>
      </rPr>
      <t xml:space="preserve"> (BG-3)</t>
    </r>
  </si>
  <si>
    <r>
      <t>Information über den Geschäftsprozess*</t>
    </r>
    <r>
      <rPr>
        <b/>
        <sz val="12"/>
        <color rgb="FF000000"/>
        <rFont val="Calibri (Textkörper)"/>
      </rPr>
      <t xml:space="preserve"> (BG-2)</t>
    </r>
  </si>
  <si>
    <r>
      <t>Rechnungsnotiz</t>
    </r>
    <r>
      <rPr>
        <b/>
        <sz val="12"/>
        <color rgb="FF000000"/>
        <rFont val="Calibri (Textkörper)"/>
      </rPr>
      <t xml:space="preserve"> (BG-1)</t>
    </r>
  </si>
  <si>
    <r>
      <t>Steuervertreter des Rechnungsstellers</t>
    </r>
    <r>
      <rPr>
        <b/>
        <sz val="12"/>
        <color rgb="FF000000"/>
        <rFont val="Calibri (Textkörper)"/>
      </rPr>
      <t xml:space="preserve"> (BG-11)</t>
    </r>
  </si>
  <si>
    <r>
      <t xml:space="preserve">Postanschrift* </t>
    </r>
    <r>
      <rPr>
        <sz val="11"/>
        <color rgb="FF000000"/>
        <rFont val="Calibri (Textkörper)"/>
      </rPr>
      <t xml:space="preserve"> (BG-12)</t>
    </r>
  </si>
  <si>
    <r>
      <t>Lieferinformationen</t>
    </r>
    <r>
      <rPr>
        <b/>
        <sz val="12"/>
        <color rgb="FF000000"/>
        <rFont val="Calibri (Textkörper)"/>
      </rPr>
      <t xml:space="preserve"> (BG-13)</t>
    </r>
  </si>
  <si>
    <r>
      <t>Zahlungsinformationen*</t>
    </r>
    <r>
      <rPr>
        <b/>
        <sz val="12"/>
        <color rgb="FF000000"/>
        <rFont val="Calibri (Textkörper)"/>
      </rPr>
      <t xml:space="preserve"> (BG-16)</t>
    </r>
  </si>
  <si>
    <r>
      <t>Lieferanschrift</t>
    </r>
    <r>
      <rPr>
        <sz val="11"/>
        <color rgb="FF000000"/>
        <rFont val="Calibri (Textkörper)"/>
      </rPr>
      <t xml:space="preserve"> (BG-15)</t>
    </r>
  </si>
  <si>
    <r>
      <t>Angaben zum Rechnungszeitraum</t>
    </r>
    <r>
      <rPr>
        <sz val="11"/>
        <color rgb="FF000000"/>
        <rFont val="Calibri (Textkörper)"/>
      </rPr>
      <t xml:space="preserve"> (BG-14)</t>
    </r>
  </si>
  <si>
    <r>
      <t>Überweisung</t>
    </r>
    <r>
      <rPr>
        <sz val="11"/>
        <color rgb="FF000000"/>
        <rFont val="Calibri (Textkörper)"/>
      </rPr>
      <t xml:space="preserve"> (BG-17)</t>
    </r>
  </si>
  <si>
    <r>
      <rPr>
        <u/>
        <sz val="11"/>
        <color rgb="FF000000"/>
        <rFont val="Calibri (Textkörper)"/>
      </rPr>
      <t>Zahlungskarte/Kreditkarte</t>
    </r>
    <r>
      <rPr>
        <sz val="11"/>
        <color rgb="FF000000"/>
        <rFont val="Calibri (Textkörper)"/>
      </rPr>
      <t xml:space="preserve"> (BG-18)</t>
    </r>
  </si>
  <si>
    <r>
      <t>Lastschrift</t>
    </r>
    <r>
      <rPr>
        <sz val="11"/>
        <color rgb="FF000000"/>
        <rFont val="Calibri (Textkörper)"/>
      </rPr>
      <t xml:space="preserve"> (BG-19)</t>
    </r>
  </si>
  <si>
    <t>&lt;BT-1|</t>
  </si>
  <si>
    <t>&lt;BT-2|</t>
  </si>
  <si>
    <t>&lt;BT-3|</t>
  </si>
  <si>
    <t>&lt;BT-5|</t>
  </si>
  <si>
    <t>&lt;BT-6|</t>
  </si>
  <si>
    <t>&lt;BT-7|</t>
  </si>
  <si>
    <t>&lt;BT-8|</t>
  </si>
  <si>
    <t>&lt;BT-9|</t>
  </si>
  <si>
    <t>&lt;BT-10|</t>
  </si>
  <si>
    <t>&lt;BT-11|</t>
  </si>
  <si>
    <t>&lt;BT-12|</t>
  </si>
  <si>
    <t>&lt;BT-13|</t>
  </si>
  <si>
    <t>&lt;BT-14|</t>
  </si>
  <si>
    <t>&lt;BT-15|</t>
  </si>
  <si>
    <t>&lt;BT-16|</t>
  </si>
  <si>
    <t>&lt;BT-17|</t>
  </si>
  <si>
    <t>&lt;BT-18|</t>
  </si>
  <si>
    <t>&lt;BT-19|</t>
  </si>
  <si>
    <t>&lt;BT-20|</t>
  </si>
  <si>
    <t>&lt;BT-21|</t>
  </si>
  <si>
    <t>&lt;BT-22|</t>
  </si>
  <si>
    <t>&lt;BT-23|</t>
  </si>
  <si>
    <t>&lt;BT-24|</t>
  </si>
  <si>
    <t>&lt;BT-25|</t>
  </si>
  <si>
    <t>&lt;BT-26|</t>
  </si>
  <si>
    <t>&lt;BT-27|</t>
  </si>
  <si>
    <t>&lt;BT-28|</t>
  </si>
  <si>
    <t>&lt;BT-29|</t>
  </si>
  <si>
    <t>&lt;BT-30|</t>
  </si>
  <si>
    <t>&lt;BT-31|</t>
  </si>
  <si>
    <t>&lt;BT-32|</t>
  </si>
  <si>
    <t>&lt;BT-33|</t>
  </si>
  <si>
    <t>&lt;BT-34|</t>
  </si>
  <si>
    <t>&lt;BT-35|</t>
  </si>
  <si>
    <t>&lt;BT-36|</t>
  </si>
  <si>
    <t>&lt;BT-162|</t>
  </si>
  <si>
    <t>&lt;BT-37|</t>
  </si>
  <si>
    <t>&lt;BT-38|</t>
  </si>
  <si>
    <t>&lt;BT-39|</t>
  </si>
  <si>
    <t>&lt;BT-40|</t>
  </si>
  <si>
    <t>&lt;BT-41|</t>
  </si>
  <si>
    <t>&lt;BT-42|</t>
  </si>
  <si>
    <t>&lt;BT-43|</t>
  </si>
  <si>
    <t>&lt;BT-44|</t>
  </si>
  <si>
    <t>&lt;BT-45|</t>
  </si>
  <si>
    <t>&lt;BT-46|</t>
  </si>
  <si>
    <t>&lt;BT-47|</t>
  </si>
  <si>
    <t>&lt;BT-48|</t>
  </si>
  <si>
    <t>&lt;BT-49|</t>
  </si>
  <si>
    <t>&lt;BT-50|</t>
  </si>
  <si>
    <t>&lt;BT-51|</t>
  </si>
  <si>
    <t>&lt;BT-163|</t>
  </si>
  <si>
    <t>&lt;BT-52|</t>
  </si>
  <si>
    <t>&lt;BT-53|</t>
  </si>
  <si>
    <t>&lt;BT-54|</t>
  </si>
  <si>
    <t>&lt;BT-55|</t>
  </si>
  <si>
    <t>&lt;BT-56|</t>
  </si>
  <si>
    <t>&lt;BT-57|</t>
  </si>
  <si>
    <t>&lt;BT-58|</t>
  </si>
  <si>
    <t>&lt;BT-59|</t>
  </si>
  <si>
    <t>&lt;BT-60|</t>
  </si>
  <si>
    <t>&lt;BT-61|</t>
  </si>
  <si>
    <t>&lt;BT-62|</t>
  </si>
  <si>
    <t>&lt;BT-63|</t>
  </si>
  <si>
    <t>&lt;BT-64|</t>
  </si>
  <si>
    <t>&lt;BT-65|</t>
  </si>
  <si>
    <t>&lt;BT-164|</t>
  </si>
  <si>
    <t>&lt;BT-66|</t>
  </si>
  <si>
    <t>&lt;BT-67|</t>
  </si>
  <si>
    <t>&lt;BT-68|</t>
  </si>
  <si>
    <t>&lt;BT-69|</t>
  </si>
  <si>
    <t>&lt;BT-70|</t>
  </si>
  <si>
    <t>&lt;BT-71|</t>
  </si>
  <si>
    <t>&lt;BT-72|</t>
  </si>
  <si>
    <t>&lt;BT-75|</t>
  </si>
  <si>
    <t>&lt;BT-76|</t>
  </si>
  <si>
    <t>&lt;BT-165|</t>
  </si>
  <si>
    <t>&lt;BT-77|</t>
  </si>
  <si>
    <t>&lt;BT-78|</t>
  </si>
  <si>
    <t>&lt;BT-79|</t>
  </si>
  <si>
    <t>&lt;BT-80|</t>
  </si>
  <si>
    <t>&lt;BT-73|</t>
  </si>
  <si>
    <t>&lt;BT-74|</t>
  </si>
  <si>
    <t>&lt;BT-81|</t>
  </si>
  <si>
    <t>&lt;BT-82|</t>
  </si>
  <si>
    <t>&lt;BT-83|</t>
  </si>
  <si>
    <t>&lt;BT-84|</t>
  </si>
  <si>
    <t>&lt;BT-85|</t>
  </si>
  <si>
    <t>&lt;BT-86|</t>
  </si>
  <si>
    <t>&lt;BT-87|</t>
  </si>
  <si>
    <t>&lt;BT-88|</t>
  </si>
  <si>
    <t>&lt;BT-89|</t>
  </si>
  <si>
    <t>&lt;BT-90|</t>
  </si>
  <si>
    <t>&lt;BT-91|</t>
  </si>
  <si>
    <t>Preis (nach Rabatt) (pro Einheit)* (BT-146)</t>
  </si>
  <si>
    <t>&lt;BG-25|&lt;BT-126|</t>
  </si>
  <si>
    <t>&gt;&lt;BT-127|</t>
  </si>
  <si>
    <t>&gt;&lt;BT-128|</t>
  </si>
  <si>
    <t>&gt;&lt;BT-129|</t>
  </si>
  <si>
    <t>&gt;&lt;BT-130|</t>
  </si>
  <si>
    <t>&gt;&lt;BG-29|&lt;BT-148|</t>
  </si>
  <si>
    <t>&gt;&lt;BT-147|</t>
  </si>
  <si>
    <t>&gt;&lt;BT-146|</t>
  </si>
  <si>
    <t>&lt;BT-149|</t>
  </si>
  <si>
    <t>&gt;&lt;BT-150|</t>
  </si>
  <si>
    <t>&gt;&gt;&lt;BG-31|&lt;BT-153|</t>
  </si>
  <si>
    <t>&gt;&lt;BT-154|</t>
  </si>
  <si>
    <t>&gt;&lt;BT-155|</t>
  </si>
  <si>
    <t>&gt;&lt;BT-156|</t>
  </si>
  <si>
    <t>&gt;&lt;BT-157|</t>
  </si>
  <si>
    <t>&gt;&lt;BT-158|</t>
  </si>
  <si>
    <t>&gt;&lt;BT-159|</t>
  </si>
  <si>
    <t>&gt;&gt;&lt;BG-32|&lt;BT-160|</t>
  </si>
  <si>
    <t>&gt;&lt;BT-161|</t>
  </si>
  <si>
    <t>&gt;&gt;&lt;BG-27|&lt;BT-137|</t>
  </si>
  <si>
    <t>&gt;&lt;BT-138|</t>
  </si>
  <si>
    <t>&gt;&lt;BT-136|</t>
  </si>
  <si>
    <t>&gt;&lt;BT-139|</t>
  </si>
  <si>
    <t>&gt;&lt;BT-140|</t>
  </si>
  <si>
    <t>&gt;&gt;&lt;BG-28|&lt;BT-142|</t>
  </si>
  <si>
    <t>&gt;&lt;BT-143|</t>
  </si>
  <si>
    <t>&gt;&lt;BT-141|</t>
  </si>
  <si>
    <t>&gt;&lt;BT-144|</t>
  </si>
  <si>
    <t>&gt;&lt;BT-145|</t>
  </si>
  <si>
    <t>&gt;&gt;&lt;BT-131|</t>
  </si>
  <si>
    <t>&gt;&gt;&lt;BG-30|&lt;BT-151|</t>
  </si>
  <si>
    <t>&gt;&lt;BT-152|</t>
  </si>
  <si>
    <t>&lt;BG-26|&lt;BT-134|</t>
  </si>
  <si>
    <t>&gt;&lt;BT-135|</t>
  </si>
  <si>
    <t>Grundbetrag für Nachlässe (BT-93)</t>
  </si>
  <si>
    <t>Grundbetrag für Abgaben (BT-100)</t>
  </si>
  <si>
    <t>Gesamtbetrag inkl. Umsatzsteuer* (BT-112)</t>
  </si>
  <si>
    <t>&lt;BG-20|&lt;BT-93|</t>
  </si>
  <si>
    <t>&gt;&lt;BT-94|</t>
  </si>
  <si>
    <t>&gt;&lt;BT-92|</t>
  </si>
  <si>
    <t>&gt;&lt;BT-95|</t>
  </si>
  <si>
    <t>&gt;&lt;BT-96|</t>
  </si>
  <si>
    <t>&lt;BT-97|</t>
  </si>
  <si>
    <t>&gt;&lt;BT-98|</t>
  </si>
  <si>
    <t>&lt;BG-21|&lt;BT-99|</t>
  </si>
  <si>
    <t>&gt;&lt;BT-101|</t>
  </si>
  <si>
    <t>&gt;&lt;BT-99|</t>
  </si>
  <si>
    <t>&gt;&lt;BT-102|</t>
  </si>
  <si>
    <t>&gt;&lt;BT-103|</t>
  </si>
  <si>
    <t>&lt;BT-104|</t>
  </si>
  <si>
    <t>&gt;&lt;BT-105|</t>
  </si>
  <si>
    <t>&lt;BG-22|&lt;BT-106|</t>
  </si>
  <si>
    <t>&gt;&lt;BT-107|</t>
  </si>
  <si>
    <t>&gt;&lt;BT-108|</t>
  </si>
  <si>
    <t>&gt;&lt;BT-109|</t>
  </si>
  <si>
    <t>&gt;&lt;BT-110|</t>
  </si>
  <si>
    <t>&lt;BT-111|</t>
  </si>
  <si>
    <t>&gt;&lt;BT-112|</t>
  </si>
  <si>
    <t>&gt;&lt;BT-113|</t>
  </si>
  <si>
    <t>&gt;&lt;BT-114|</t>
  </si>
  <si>
    <t>&gt;&lt;BT-115|</t>
  </si>
  <si>
    <t>Grund für etwaige Ausnahme (BT-120)</t>
  </si>
  <si>
    <t>Grund für etwaige Ausnahme (Code) (BT-121)</t>
  </si>
  <si>
    <t>&lt;BG-23|&lt;BT-116|</t>
  </si>
  <si>
    <t>&gt;&lt;BT-118|</t>
  </si>
  <si>
    <t>&gt;&lt;BT-119|</t>
  </si>
  <si>
    <t>&gt;&lt;BT-117|</t>
  </si>
  <si>
    <t>&gt;&lt;BT-120|</t>
  </si>
  <si>
    <t>&gt;&lt;BT-121|</t>
  </si>
  <si>
    <t>Kennung des Käufers (BT-46):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</si>
</sst>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€&quot;;[Red]\-#,##0.00\ &quot;€&quot;"/>
    <numFmt numFmtId="164" formatCode="#,##0.00\ &quot;€&quot;"/>
  </numFmts>
  <fonts count="36">
    <font>
      <sz val="12"/>
      <color theme="1"/>
      <name val="Calibri"/>
      <family val="2"/>
      <scheme val="minor"/>
    </font>
    <font>
      <sz val="8"/>
      <name val="Verdana"/>
      <family val="2"/>
    </font>
    <font>
      <sz val="8"/>
      <color indexed="8"/>
      <name val="Calibri (Textkörper)"/>
    </font>
    <font>
      <sz val="8"/>
      <color theme="1"/>
      <name val="Calibri (Textkörper)"/>
    </font>
    <font>
      <sz val="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 (Textkörper)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"/>
      <color theme="0"/>
      <name val="Calibri"/>
      <family val="2"/>
      <scheme val="minor"/>
    </font>
    <font>
      <sz val="1"/>
      <color theme="0"/>
      <name val="Calibri (Textkörper)"/>
    </font>
    <font>
      <b/>
      <u val="double"/>
      <sz val="20"/>
      <color theme="1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FFFFFF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indexed="8"/>
      <name val="Arial Narrow"/>
      <family val="2"/>
    </font>
    <font>
      <sz val="8"/>
      <color rgb="FF000000"/>
      <name val="Arial Narrow"/>
      <family val="2"/>
    </font>
    <font>
      <sz val="8"/>
      <color indexed="8"/>
      <name val="Calibri"/>
      <family val="2"/>
      <scheme val="minor"/>
    </font>
    <font>
      <sz val="8"/>
      <color theme="0"/>
      <name val="Calibri (Textkörper)"/>
    </font>
    <font>
      <sz val="1"/>
      <color theme="0"/>
      <name val="Arial Narrow"/>
      <family val="2"/>
    </font>
    <font>
      <sz val="8"/>
      <color theme="1"/>
      <name val="Arial Narrow"/>
      <family val="2"/>
    </font>
    <font>
      <b/>
      <sz val="12"/>
      <color rgb="FF000000"/>
      <name val="Calibri (Textkörper)"/>
    </font>
    <font>
      <sz val="11"/>
      <color rgb="FF000000"/>
      <name val="Calibri (Textkörper)"/>
    </font>
    <font>
      <sz val="11"/>
      <color rgb="FF000000"/>
      <name val="Calibri"/>
      <family val="2"/>
      <scheme val="minor"/>
    </font>
    <font>
      <u/>
      <sz val="11"/>
      <color rgb="FF000000"/>
      <name val="Calibri (Textkörper)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A8D08D"/>
        <bgColor indexed="64"/>
      </patternFill>
    </fill>
    <fill>
      <patternFill patternType="solid">
        <fgColor rgb="FF98BE8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57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2" tint="-0.499984740745262"/>
      </right>
      <top/>
      <bottom style="medium">
        <color theme="1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medium">
        <color theme="1"/>
      </bottom>
      <diagonal/>
    </border>
    <border>
      <left style="thin">
        <color theme="2" tint="-0.499984740745262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medium">
        <color theme="1"/>
      </top>
      <bottom style="medium">
        <color theme="1"/>
      </bottom>
      <diagonal/>
    </border>
    <border>
      <left/>
      <right style="thin">
        <color indexed="64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2" tint="-0.499984740745262"/>
      </bottom>
      <diagonal/>
    </border>
    <border>
      <left/>
      <right style="thin">
        <color theme="1"/>
      </right>
      <top/>
      <bottom style="thin">
        <color theme="2" tint="-0.499984740745262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 style="medium">
        <color theme="1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thin">
        <color indexed="64"/>
      </left>
      <right/>
      <top style="medium">
        <color theme="1"/>
      </top>
      <bottom style="thin">
        <color theme="2" tint="-0.499984740745262"/>
      </bottom>
      <diagonal/>
    </border>
    <border>
      <left style="thin">
        <color indexed="64"/>
      </left>
      <right style="thin">
        <color theme="2" tint="-0.499984740745262"/>
      </right>
      <top style="medium">
        <color theme="1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6">
    <xf numFmtId="0" fontId="0" fillId="0" borderId="0" xfId="0"/>
    <xf numFmtId="0" fontId="2" fillId="0" borderId="0" xfId="0" applyFont="1" applyAlignment="1">
      <alignment vertical="center" wrapText="1"/>
    </xf>
    <xf numFmtId="0" fontId="3" fillId="0" borderId="0" xfId="0" applyFont="1"/>
    <xf numFmtId="14" fontId="3" fillId="0" borderId="0" xfId="0" applyNumberFormat="1" applyFont="1"/>
    <xf numFmtId="0" fontId="3" fillId="0" borderId="0" xfId="0" applyNumberFormat="1" applyFont="1"/>
    <xf numFmtId="2" fontId="3" fillId="0" borderId="0" xfId="0" applyNumberFormat="1" applyFont="1"/>
    <xf numFmtId="164" fontId="3" fillId="0" borderId="0" xfId="0" applyNumberFormat="1" applyFont="1"/>
    <xf numFmtId="10" fontId="3" fillId="0" borderId="0" xfId="0" applyNumberFormat="1" applyFont="1"/>
    <xf numFmtId="0" fontId="4" fillId="0" borderId="0" xfId="0" applyFont="1" applyAlignment="1">
      <alignment vertical="center" wrapText="1"/>
    </xf>
    <xf numFmtId="0" fontId="4" fillId="0" borderId="0" xfId="0" applyFont="1"/>
    <xf numFmtId="0" fontId="3" fillId="0" borderId="0" xfId="0" applyFont="1" applyAlignment="1">
      <alignment vertical="center" wrapText="1"/>
    </xf>
    <xf numFmtId="0" fontId="7" fillId="0" borderId="0" xfId="0" applyFont="1"/>
    <xf numFmtId="164" fontId="8" fillId="0" borderId="0" xfId="0" applyNumberFormat="1" applyFont="1"/>
    <xf numFmtId="2" fontId="8" fillId="0" borderId="0" xfId="0" applyNumberFormat="1" applyFont="1"/>
    <xf numFmtId="10" fontId="8" fillId="0" borderId="0" xfId="0" applyNumberFormat="1" applyFont="1"/>
    <xf numFmtId="14" fontId="8" fillId="0" borderId="0" xfId="0" applyNumberFormat="1" applyFont="1"/>
    <xf numFmtId="0" fontId="8" fillId="0" borderId="0" xfId="0" applyFont="1"/>
    <xf numFmtId="0" fontId="4" fillId="0" borderId="0" xfId="0" applyFont="1" applyAlignment="1">
      <alignment vertical="center"/>
    </xf>
    <xf numFmtId="164" fontId="3" fillId="0" borderId="1" xfId="0" applyNumberFormat="1" applyFont="1" applyBorder="1" applyProtection="1">
      <protection locked="0"/>
    </xf>
    <xf numFmtId="0" fontId="5" fillId="0" borderId="0" xfId="0" applyFont="1"/>
    <xf numFmtId="0" fontId="10" fillId="0" borderId="0" xfId="0" applyFont="1"/>
    <xf numFmtId="0" fontId="10" fillId="0" borderId="0" xfId="0" applyFont="1" applyAlignment="1">
      <alignment shrinkToFit="1"/>
    </xf>
    <xf numFmtId="0" fontId="4" fillId="0" borderId="0" xfId="0" applyFont="1" applyAlignment="1">
      <alignment vertical="center" wrapText="1" shrinkToFit="1"/>
    </xf>
    <xf numFmtId="0" fontId="4" fillId="0" borderId="0" xfId="0" applyFont="1" applyAlignment="1">
      <alignment shrinkToFit="1"/>
    </xf>
    <xf numFmtId="0" fontId="4" fillId="0" borderId="0" xfId="0" applyFont="1" applyAlignment="1">
      <alignment vertical="center" shrinkToFit="1"/>
    </xf>
    <xf numFmtId="164" fontId="12" fillId="0" borderId="2" xfId="0" applyNumberFormat="1" applyFont="1" applyBorder="1" applyAlignment="1">
      <alignment shrinkToFit="1"/>
    </xf>
    <xf numFmtId="0" fontId="12" fillId="0" borderId="0" xfId="0" applyNumberFormat="1" applyFont="1" applyAlignment="1">
      <alignment shrinkToFit="1"/>
    </xf>
    <xf numFmtId="10" fontId="12" fillId="0" borderId="2" xfId="0" applyNumberFormat="1" applyFont="1" applyBorder="1" applyAlignment="1">
      <alignment shrinkToFit="1"/>
    </xf>
    <xf numFmtId="0" fontId="12" fillId="0" borderId="0" xfId="0" applyFont="1" applyAlignment="1">
      <alignment shrinkToFit="1"/>
    </xf>
    <xf numFmtId="0" fontId="12" fillId="0" borderId="0" xfId="0" applyFont="1" applyAlignment="1">
      <alignment vertical="center" wrapText="1" shrinkToFit="1"/>
    </xf>
    <xf numFmtId="164" fontId="12" fillId="0" borderId="0" xfId="0" applyNumberFormat="1" applyFont="1" applyAlignment="1">
      <alignment shrinkToFit="1"/>
    </xf>
    <xf numFmtId="2" fontId="12" fillId="0" borderId="0" xfId="0" applyNumberFormat="1" applyFont="1" applyAlignment="1">
      <alignment shrinkToFit="1"/>
    </xf>
    <xf numFmtId="10" fontId="12" fillId="0" borderId="0" xfId="0" applyNumberFormat="1" applyFont="1" applyAlignment="1">
      <alignment shrinkToFit="1"/>
    </xf>
    <xf numFmtId="164" fontId="12" fillId="0" borderId="1" xfId="0" applyNumberFormat="1" applyFont="1" applyBorder="1" applyAlignment="1">
      <alignment shrinkToFit="1"/>
    </xf>
    <xf numFmtId="0" fontId="12" fillId="0" borderId="2" xfId="0" applyFont="1" applyBorder="1" applyAlignment="1">
      <alignment shrinkToFit="1"/>
    </xf>
    <xf numFmtId="10" fontId="12" fillId="0" borderId="1" xfId="0" applyNumberFormat="1" applyFont="1" applyBorder="1" applyAlignment="1">
      <alignment shrinkToFit="1"/>
    </xf>
    <xf numFmtId="14" fontId="12" fillId="0" borderId="0" xfId="0" applyNumberFormat="1" applyFont="1" applyAlignment="1">
      <alignment shrinkToFit="1"/>
    </xf>
    <xf numFmtId="164" fontId="12" fillId="0" borderId="0" xfId="0" applyNumberFormat="1" applyFont="1" applyFill="1" applyAlignment="1">
      <alignment shrinkToFit="1"/>
    </xf>
    <xf numFmtId="14" fontId="12" fillId="0" borderId="1" xfId="0" applyNumberFormat="1" applyFont="1" applyBorder="1" applyAlignment="1">
      <alignment shrinkToFit="1"/>
    </xf>
    <xf numFmtId="164" fontId="12" fillId="0" borderId="5" xfId="0" applyNumberFormat="1" applyFont="1" applyBorder="1" applyAlignment="1">
      <alignment shrinkToFit="1"/>
    </xf>
    <xf numFmtId="0" fontId="13" fillId="0" borderId="0" xfId="0" applyNumberFormat="1" applyFont="1"/>
    <xf numFmtId="0" fontId="9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15" fillId="0" borderId="0" xfId="0" applyFont="1" applyAlignment="1">
      <alignment vertical="top" wrapText="1"/>
    </xf>
    <xf numFmtId="0" fontId="4" fillId="0" borderId="0" xfId="0" applyNumberFormat="1" applyFont="1" applyAlignment="1">
      <alignment shrinkToFit="1"/>
    </xf>
    <xf numFmtId="0" fontId="6" fillId="0" borderId="0" xfId="0" applyFont="1"/>
    <xf numFmtId="0" fontId="11" fillId="0" borderId="0" xfId="0" applyFont="1" applyAlignment="1">
      <alignment shrinkToFit="1"/>
    </xf>
    <xf numFmtId="0" fontId="4" fillId="0" borderId="8" xfId="0" applyFont="1" applyBorder="1" applyAlignment="1">
      <alignment shrinkToFit="1"/>
    </xf>
    <xf numFmtId="0" fontId="6" fillId="6" borderId="10" xfId="0" applyFont="1" applyFill="1" applyBorder="1"/>
    <xf numFmtId="0" fontId="6" fillId="0" borderId="11" xfId="0" applyFont="1" applyBorder="1"/>
    <xf numFmtId="0" fontId="23" fillId="0" borderId="0" xfId="0" applyFont="1" applyAlignment="1">
      <alignment vertical="center"/>
    </xf>
    <xf numFmtId="0" fontId="23" fillId="0" borderId="8" xfId="0" applyFont="1" applyBorder="1" applyAlignment="1">
      <alignment vertical="center" shrinkToFit="1"/>
    </xf>
    <xf numFmtId="0" fontId="23" fillId="0" borderId="15" xfId="0" applyFont="1" applyBorder="1" applyAlignment="1">
      <alignment vertical="center" shrinkToFit="1"/>
    </xf>
    <xf numFmtId="0" fontId="23" fillId="0" borderId="18" xfId="0" applyFont="1" applyBorder="1" applyAlignment="1">
      <alignment vertical="center" shrinkToFit="1"/>
    </xf>
    <xf numFmtId="164" fontId="23" fillId="0" borderId="22" xfId="0" applyNumberFormat="1" applyFont="1" applyBorder="1" applyAlignment="1">
      <alignment vertical="center" shrinkToFit="1"/>
    </xf>
    <xf numFmtId="164" fontId="23" fillId="0" borderId="25" xfId="0" applyNumberFormat="1" applyFont="1" applyBorder="1" applyAlignment="1">
      <alignment vertical="center" shrinkToFit="1"/>
    </xf>
    <xf numFmtId="0" fontId="23" fillId="0" borderId="25" xfId="0" applyFont="1" applyBorder="1" applyAlignment="1">
      <alignment vertical="center" shrinkToFit="1"/>
    </xf>
    <xf numFmtId="164" fontId="23" fillId="7" borderId="3" xfId="0" applyNumberFormat="1" applyFont="1" applyFill="1" applyBorder="1" applyAlignment="1">
      <alignment vertical="center" shrinkToFit="1"/>
    </xf>
    <xf numFmtId="0" fontId="9" fillId="6" borderId="26" xfId="0" applyFont="1" applyFill="1" applyBorder="1" applyAlignment="1">
      <alignment vertical="center"/>
    </xf>
    <xf numFmtId="0" fontId="23" fillId="6" borderId="27" xfId="0" applyFont="1" applyFill="1" applyBorder="1" applyAlignment="1">
      <alignment vertical="center" shrinkToFit="1"/>
    </xf>
    <xf numFmtId="10" fontId="23" fillId="0" borderId="31" xfId="0" applyNumberFormat="1" applyFont="1" applyBorder="1" applyAlignment="1">
      <alignment vertical="center" shrinkToFit="1"/>
    </xf>
    <xf numFmtId="10" fontId="9" fillId="0" borderId="32" xfId="0" applyNumberFormat="1" applyFont="1" applyBorder="1" applyAlignment="1">
      <alignment vertical="center"/>
    </xf>
    <xf numFmtId="10" fontId="23" fillId="0" borderId="32" xfId="0" applyNumberFormat="1" applyFont="1" applyBorder="1" applyAlignment="1">
      <alignment vertical="center" shrinkToFit="1"/>
    </xf>
    <xf numFmtId="164" fontId="9" fillId="0" borderId="32" xfId="0" applyNumberFormat="1" applyFont="1" applyBorder="1" applyAlignment="1">
      <alignment vertical="center"/>
    </xf>
    <xf numFmtId="164" fontId="23" fillId="0" borderId="0" xfId="0" applyNumberFormat="1" applyFont="1" applyAlignment="1">
      <alignment vertical="center" shrinkToFit="1"/>
    </xf>
    <xf numFmtId="164" fontId="9" fillId="0" borderId="0" xfId="0" applyNumberFormat="1" applyFont="1" applyAlignment="1">
      <alignment vertical="center"/>
    </xf>
    <xf numFmtId="164" fontId="23" fillId="0" borderId="32" xfId="0" applyNumberFormat="1" applyFont="1" applyBorder="1" applyAlignment="1">
      <alignment vertical="center" shrinkToFit="1"/>
    </xf>
    <xf numFmtId="14" fontId="9" fillId="0" borderId="33" xfId="0" applyNumberFormat="1" applyFont="1" applyBorder="1" applyAlignment="1">
      <alignment vertical="center"/>
    </xf>
    <xf numFmtId="14" fontId="23" fillId="0" borderId="22" xfId="0" applyNumberFormat="1" applyFont="1" applyBorder="1" applyAlignment="1">
      <alignment vertical="center" shrinkToFit="1"/>
    </xf>
    <xf numFmtId="0" fontId="23" fillId="0" borderId="0" xfId="0" applyFont="1" applyAlignment="1">
      <alignment vertical="center" shrinkToFit="1"/>
    </xf>
    <xf numFmtId="0" fontId="25" fillId="8" borderId="35" xfId="0" applyFont="1" applyFill="1" applyBorder="1" applyAlignment="1">
      <alignment horizontal="left" vertical="center" wrapText="1"/>
    </xf>
    <xf numFmtId="0" fontId="4" fillId="0" borderId="35" xfId="0" applyFont="1" applyBorder="1" applyAlignment="1">
      <alignment horizontal="left" vertical="center" wrapText="1" shrinkToFit="1"/>
    </xf>
    <xf numFmtId="0" fontId="25" fillId="0" borderId="35" xfId="0" applyFont="1" applyBorder="1" applyAlignment="1">
      <alignment horizontal="left" vertical="center" wrapText="1"/>
    </xf>
    <xf numFmtId="2" fontId="25" fillId="8" borderId="35" xfId="0" applyNumberFormat="1" applyFont="1" applyFill="1" applyBorder="1" applyAlignment="1">
      <alignment vertical="center" wrapText="1"/>
    </xf>
    <xf numFmtId="2" fontId="4" fillId="0" borderId="35" xfId="0" applyNumberFormat="1" applyFont="1" applyBorder="1" applyAlignment="1">
      <alignment vertical="center" wrapText="1" shrinkToFit="1"/>
    </xf>
    <xf numFmtId="2" fontId="25" fillId="8" borderId="36" xfId="0" applyNumberFormat="1" applyFont="1" applyFill="1" applyBorder="1" applyAlignment="1">
      <alignment vertical="center" wrapText="1"/>
    </xf>
    <xf numFmtId="2" fontId="4" fillId="0" borderId="37" xfId="0" applyNumberFormat="1" applyFont="1" applyBorder="1" applyAlignment="1">
      <alignment vertical="center" wrapText="1" shrinkToFit="1"/>
    </xf>
    <xf numFmtId="0" fontId="25" fillId="0" borderId="38" xfId="0" applyFont="1" applyBorder="1" applyAlignment="1">
      <alignment vertical="center" wrapText="1"/>
    </xf>
    <xf numFmtId="0" fontId="4" fillId="0" borderId="35" xfId="0" applyFont="1" applyBorder="1" applyAlignment="1">
      <alignment vertical="center" wrapText="1" shrinkToFit="1"/>
    </xf>
    <xf numFmtId="0" fontId="25" fillId="0" borderId="35" xfId="0" applyFont="1" applyBorder="1" applyAlignment="1">
      <alignment vertical="center" wrapText="1"/>
    </xf>
    <xf numFmtId="0" fontId="26" fillId="8" borderId="35" xfId="0" applyFont="1" applyFill="1" applyBorder="1" applyAlignment="1">
      <alignment vertical="center" wrapText="1"/>
    </xf>
    <xf numFmtId="164" fontId="4" fillId="0" borderId="35" xfId="0" applyNumberFormat="1" applyFont="1" applyBorder="1" applyAlignment="1">
      <alignment vertical="center" wrapText="1" shrinkToFit="1"/>
    </xf>
    <xf numFmtId="164" fontId="25" fillId="0" borderId="35" xfId="0" applyNumberFormat="1" applyFont="1" applyBorder="1" applyAlignment="1">
      <alignment vertical="center" wrapText="1"/>
    </xf>
    <xf numFmtId="0" fontId="25" fillId="0" borderId="39" xfId="0" applyFont="1" applyBorder="1" applyAlignment="1">
      <alignment vertical="center" wrapText="1"/>
    </xf>
    <xf numFmtId="0" fontId="4" fillId="0" borderId="40" xfId="0" applyFont="1" applyBorder="1" applyAlignment="1">
      <alignment vertical="center" wrapText="1" shrinkToFit="1"/>
    </xf>
    <xf numFmtId="0" fontId="25" fillId="8" borderId="38" xfId="0" applyFont="1" applyFill="1" applyBorder="1" applyAlignment="1">
      <alignment vertical="center" wrapText="1"/>
    </xf>
    <xf numFmtId="0" fontId="25" fillId="0" borderId="36" xfId="0" applyFont="1" applyBorder="1" applyAlignment="1">
      <alignment vertical="center" wrapText="1"/>
    </xf>
    <xf numFmtId="0" fontId="25" fillId="5" borderId="41" xfId="0" applyFont="1" applyFill="1" applyBorder="1" applyAlignment="1">
      <alignment vertical="center" wrapText="1"/>
    </xf>
    <xf numFmtId="0" fontId="4" fillId="0" borderId="42" xfId="0" applyFont="1" applyBorder="1" applyAlignment="1">
      <alignment vertical="center" wrapText="1" shrinkToFit="1"/>
    </xf>
    <xf numFmtId="0" fontId="25" fillId="5" borderId="36" xfId="0" applyFont="1" applyFill="1" applyBorder="1" applyAlignment="1">
      <alignment vertical="center" wrapText="1"/>
    </xf>
    <xf numFmtId="164" fontId="25" fillId="5" borderId="38" xfId="0" applyNumberFormat="1" applyFont="1" applyFill="1" applyBorder="1" applyAlignment="1">
      <alignment vertical="center" wrapText="1"/>
    </xf>
    <xf numFmtId="10" fontId="25" fillId="0" borderId="35" xfId="0" applyNumberFormat="1" applyFont="1" applyBorder="1" applyAlignment="1">
      <alignment vertical="center" wrapText="1"/>
    </xf>
    <xf numFmtId="10" fontId="4" fillId="0" borderId="35" xfId="0" applyNumberFormat="1" applyFont="1" applyBorder="1" applyAlignment="1">
      <alignment vertical="center" wrapText="1" shrinkToFit="1"/>
    </xf>
    <xf numFmtId="164" fontId="25" fillId="8" borderId="32" xfId="0" applyNumberFormat="1" applyFont="1" applyFill="1" applyBorder="1" applyAlignment="1">
      <alignment vertical="center" wrapText="1"/>
    </xf>
    <xf numFmtId="164" fontId="4" fillId="8" borderId="40" xfId="0" applyNumberFormat="1" applyFont="1" applyFill="1" applyBorder="1" applyAlignment="1">
      <alignment vertical="center" wrapText="1" shrinkToFit="1"/>
    </xf>
    <xf numFmtId="10" fontId="25" fillId="0" borderId="36" xfId="0" applyNumberFormat="1" applyFont="1" applyBorder="1" applyAlignment="1">
      <alignment vertical="center" wrapText="1"/>
    </xf>
    <xf numFmtId="10" fontId="4" fillId="0" borderId="40" xfId="0" applyNumberFormat="1" applyFont="1" applyBorder="1" applyAlignment="1">
      <alignment vertical="center" wrapText="1" shrinkToFit="1"/>
    </xf>
    <xf numFmtId="10" fontId="27" fillId="0" borderId="0" xfId="0" applyNumberFormat="1" applyFont="1" applyAlignment="1">
      <alignment vertical="center" wrapText="1"/>
    </xf>
    <xf numFmtId="10" fontId="4" fillId="0" borderId="38" xfId="0" applyNumberFormat="1" applyFont="1" applyBorder="1" applyAlignment="1">
      <alignment vertical="center" wrapText="1" shrinkToFit="1"/>
    </xf>
    <xf numFmtId="10" fontId="4" fillId="0" borderId="43" xfId="0" applyNumberFormat="1" applyFont="1" applyBorder="1" applyAlignment="1">
      <alignment vertical="center" wrapText="1" shrinkToFit="1"/>
    </xf>
    <xf numFmtId="10" fontId="27" fillId="0" borderId="44" xfId="0" applyNumberFormat="1" applyFont="1" applyBorder="1" applyAlignment="1">
      <alignment vertical="center" wrapText="1"/>
    </xf>
    <xf numFmtId="164" fontId="25" fillId="0" borderId="36" xfId="0" applyNumberFormat="1" applyFont="1" applyBorder="1" applyAlignment="1">
      <alignment vertical="center" wrapText="1"/>
    </xf>
    <xf numFmtId="164" fontId="4" fillId="0" borderId="40" xfId="0" applyNumberFormat="1" applyFont="1" applyBorder="1" applyAlignment="1">
      <alignment vertical="center" wrapText="1" shrinkToFit="1"/>
    </xf>
    <xf numFmtId="14" fontId="25" fillId="0" borderId="38" xfId="0" applyNumberFormat="1" applyFont="1" applyBorder="1" applyAlignment="1">
      <alignment vertical="center" wrapText="1"/>
    </xf>
    <xf numFmtId="14" fontId="4" fillId="0" borderId="35" xfId="0" applyNumberFormat="1" applyFont="1" applyBorder="1" applyAlignment="1">
      <alignment vertical="center" wrapText="1" shrinkToFit="1"/>
    </xf>
    <xf numFmtId="14" fontId="25" fillId="0" borderId="36" xfId="0" applyNumberFormat="1" applyFont="1" applyBorder="1" applyAlignment="1">
      <alignment vertical="center" wrapText="1"/>
    </xf>
    <xf numFmtId="14" fontId="4" fillId="0" borderId="7" xfId="0" applyNumberFormat="1" applyFont="1" applyBorder="1" applyAlignment="1">
      <alignment vertical="center" wrapText="1" shrinkToFit="1"/>
    </xf>
    <xf numFmtId="0" fontId="27" fillId="0" borderId="0" xfId="0" applyFont="1" applyAlignment="1">
      <alignment vertical="center" wrapText="1"/>
    </xf>
    <xf numFmtId="0" fontId="3" fillId="9" borderId="1" xfId="0" applyFont="1" applyFill="1" applyBorder="1" applyProtection="1">
      <protection locked="0"/>
    </xf>
    <xf numFmtId="0" fontId="4" fillId="0" borderId="1" xfId="0" applyFont="1" applyBorder="1" applyAlignment="1">
      <alignment shrinkToFit="1"/>
    </xf>
    <xf numFmtId="0" fontId="3" fillId="0" borderId="1" xfId="0" applyFont="1" applyBorder="1" applyProtection="1">
      <protection locked="0"/>
    </xf>
    <xf numFmtId="0" fontId="12" fillId="0" borderId="1" xfId="0" applyFont="1" applyBorder="1" applyAlignment="1">
      <alignment shrinkToFit="1"/>
    </xf>
    <xf numFmtId="2" fontId="3" fillId="9" borderId="1" xfId="0" applyNumberFormat="1" applyFont="1" applyFill="1" applyBorder="1" applyProtection="1">
      <protection locked="0"/>
    </xf>
    <xf numFmtId="2" fontId="12" fillId="0" borderId="1" xfId="0" applyNumberFormat="1" applyFont="1" applyBorder="1" applyAlignment="1">
      <alignment shrinkToFit="1"/>
    </xf>
    <xf numFmtId="2" fontId="3" fillId="9" borderId="43" xfId="0" applyNumberFormat="1" applyFont="1" applyFill="1" applyBorder="1" applyProtection="1">
      <protection locked="0"/>
    </xf>
    <xf numFmtId="2" fontId="4" fillId="0" borderId="37" xfId="0" applyNumberFormat="1" applyFont="1" applyBorder="1" applyAlignment="1">
      <alignment shrinkToFit="1"/>
    </xf>
    <xf numFmtId="0" fontId="3" fillId="0" borderId="45" xfId="0" applyFont="1" applyBorder="1" applyProtection="1">
      <protection locked="0"/>
    </xf>
    <xf numFmtId="164" fontId="3" fillId="9" borderId="1" xfId="0" applyNumberFormat="1" applyFont="1" applyFill="1" applyBorder="1" applyProtection="1">
      <protection locked="0"/>
    </xf>
    <xf numFmtId="164" fontId="3" fillId="2" borderId="1" xfId="0" applyNumberFormat="1" applyFont="1" applyFill="1" applyBorder="1" applyProtection="1">
      <protection locked="0"/>
    </xf>
    <xf numFmtId="0" fontId="3" fillId="0" borderId="43" xfId="0" applyFont="1" applyBorder="1" applyProtection="1">
      <protection locked="0"/>
    </xf>
    <xf numFmtId="0" fontId="12" fillId="0" borderId="46" xfId="0" applyFont="1" applyBorder="1" applyAlignment="1">
      <alignment shrinkToFit="1"/>
    </xf>
    <xf numFmtId="49" fontId="3" fillId="9" borderId="45" xfId="0" applyNumberFormat="1" applyFont="1" applyFill="1" applyBorder="1" applyProtection="1">
      <protection locked="0"/>
    </xf>
    <xf numFmtId="49" fontId="12" fillId="0" borderId="1" xfId="0" applyNumberFormat="1" applyFont="1" applyBorder="1" applyAlignment="1">
      <alignment shrinkToFit="1"/>
    </xf>
    <xf numFmtId="0" fontId="3" fillId="10" borderId="45" xfId="0" applyFont="1" applyFill="1" applyBorder="1" applyProtection="1">
      <protection locked="0"/>
    </xf>
    <xf numFmtId="0" fontId="3" fillId="10" borderId="43" xfId="0" applyFont="1" applyFill="1" applyBorder="1" applyProtection="1">
      <protection locked="0"/>
    </xf>
    <xf numFmtId="164" fontId="3" fillId="10" borderId="45" xfId="0" applyNumberFormat="1" applyFont="1" applyFill="1" applyBorder="1" applyProtection="1">
      <protection locked="0"/>
    </xf>
    <xf numFmtId="10" fontId="3" fillId="0" borderId="1" xfId="0" applyNumberFormat="1" applyFont="1" applyBorder="1" applyProtection="1">
      <protection locked="0"/>
    </xf>
    <xf numFmtId="164" fontId="3" fillId="2" borderId="47" xfId="0" applyNumberFormat="1" applyFont="1" applyFill="1" applyBorder="1" applyProtection="1">
      <protection locked="0"/>
    </xf>
    <xf numFmtId="164" fontId="12" fillId="0" borderId="46" xfId="0" applyNumberFormat="1" applyFont="1" applyBorder="1" applyAlignment="1">
      <alignment shrinkToFit="1"/>
    </xf>
    <xf numFmtId="0" fontId="3" fillId="9" borderId="45" xfId="0" applyFont="1" applyFill="1" applyBorder="1" applyProtection="1">
      <protection locked="0"/>
    </xf>
    <xf numFmtId="10" fontId="3" fillId="0" borderId="43" xfId="0" applyNumberFormat="1" applyFont="1" applyBorder="1" applyProtection="1">
      <protection locked="0"/>
    </xf>
    <xf numFmtId="10" fontId="12" fillId="0" borderId="46" xfId="0" applyNumberFormat="1" applyFont="1" applyBorder="1" applyAlignment="1">
      <alignment shrinkToFit="1"/>
    </xf>
    <xf numFmtId="10" fontId="28" fillId="0" borderId="0" xfId="0" applyNumberFormat="1" applyFont="1"/>
    <xf numFmtId="10" fontId="12" fillId="0" borderId="45" xfId="0" applyNumberFormat="1" applyFont="1" applyBorder="1" applyAlignment="1">
      <alignment shrinkToFit="1"/>
    </xf>
    <xf numFmtId="164" fontId="12" fillId="0" borderId="43" xfId="0" applyNumberFormat="1" applyFont="1" applyBorder="1" applyAlignment="1">
      <alignment shrinkToFit="1"/>
    </xf>
    <xf numFmtId="164" fontId="12" fillId="0" borderId="45" xfId="0" applyNumberFormat="1" applyFont="1" applyBorder="1" applyAlignment="1">
      <alignment shrinkToFit="1"/>
    </xf>
    <xf numFmtId="164" fontId="3" fillId="2" borderId="43" xfId="0" applyNumberFormat="1" applyFont="1" applyFill="1" applyBorder="1" applyProtection="1">
      <protection locked="0"/>
    </xf>
    <xf numFmtId="14" fontId="3" fillId="0" borderId="45" xfId="0" applyNumberFormat="1" applyFont="1" applyBorder="1" applyProtection="1">
      <protection locked="0"/>
    </xf>
    <xf numFmtId="14" fontId="3" fillId="0" borderId="43" xfId="0" applyNumberFormat="1" applyFont="1" applyBorder="1" applyProtection="1">
      <protection locked="0"/>
    </xf>
    <xf numFmtId="14" fontId="12" fillId="0" borderId="48" xfId="0" applyNumberFormat="1" applyFont="1" applyBorder="1" applyAlignment="1">
      <alignment shrinkToFit="1"/>
    </xf>
    <xf numFmtId="164" fontId="3" fillId="0" borderId="32" xfId="0" applyNumberFormat="1" applyFont="1" applyBorder="1"/>
    <xf numFmtId="164" fontId="3" fillId="0" borderId="44" xfId="0" applyNumberFormat="1" applyFont="1" applyBorder="1"/>
    <xf numFmtId="0" fontId="29" fillId="0" borderId="0" xfId="0" applyFont="1" applyAlignment="1">
      <alignment vertical="center" wrapText="1"/>
    </xf>
    <xf numFmtId="0" fontId="29" fillId="0" borderId="0" xfId="0" applyFont="1" applyAlignment="1">
      <alignment vertical="center" wrapText="1" shrinkToFit="1"/>
    </xf>
    <xf numFmtId="10" fontId="30" fillId="0" borderId="35" xfId="0" applyNumberFormat="1" applyFont="1" applyBorder="1" applyAlignment="1">
      <alignment horizontal="center" vertical="center" wrapText="1"/>
    </xf>
    <xf numFmtId="10" fontId="29" fillId="0" borderId="35" xfId="0" applyNumberFormat="1" applyFont="1" applyBorder="1" applyAlignment="1">
      <alignment horizontal="center" vertical="center" wrapText="1" shrinkToFit="1"/>
    </xf>
    <xf numFmtId="164" fontId="30" fillId="0" borderId="35" xfId="0" applyNumberFormat="1" applyFont="1" applyBorder="1" applyAlignment="1">
      <alignment horizontal="center" vertical="center" wrapText="1"/>
    </xf>
    <xf numFmtId="164" fontId="29" fillId="0" borderId="35" xfId="0" applyNumberFormat="1" applyFont="1" applyBorder="1" applyAlignment="1">
      <alignment horizontal="center" vertical="center" wrapText="1" shrinkToFit="1"/>
    </xf>
    <xf numFmtId="0" fontId="30" fillId="5" borderId="35" xfId="0" applyFont="1" applyFill="1" applyBorder="1" applyAlignment="1">
      <alignment vertical="center" wrapText="1"/>
    </xf>
    <xf numFmtId="0" fontId="29" fillId="0" borderId="35" xfId="0" applyFont="1" applyBorder="1" applyAlignment="1">
      <alignment vertical="center" wrapText="1" shrinkToFit="1"/>
    </xf>
    <xf numFmtId="0" fontId="30" fillId="5" borderId="35" xfId="0" applyFont="1" applyFill="1" applyBorder="1" applyAlignment="1">
      <alignment horizontal="center" vertical="center" wrapText="1"/>
    </xf>
    <xf numFmtId="0" fontId="29" fillId="0" borderId="35" xfId="0" applyFont="1" applyBorder="1" applyAlignment="1">
      <alignment horizontal="center" vertical="center" wrapText="1" shrinkToFit="1"/>
    </xf>
    <xf numFmtId="0" fontId="30" fillId="0" borderId="35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164" fontId="30" fillId="0" borderId="0" xfId="0" applyNumberFormat="1" applyFont="1" applyAlignment="1">
      <alignment vertical="center" wrapText="1"/>
    </xf>
    <xf numFmtId="164" fontId="29" fillId="0" borderId="0" xfId="0" applyNumberFormat="1" applyFont="1" applyAlignment="1">
      <alignment vertical="center" wrapText="1" shrinkToFit="1"/>
    </xf>
    <xf numFmtId="10" fontId="30" fillId="0" borderId="0" xfId="0" applyNumberFormat="1" applyFont="1" applyAlignment="1">
      <alignment vertical="center" wrapText="1"/>
    </xf>
    <xf numFmtId="10" fontId="29" fillId="0" borderId="0" xfId="0" applyNumberFormat="1" applyFont="1" applyAlignment="1">
      <alignment vertical="center" wrapText="1" shrinkToFit="1"/>
    </xf>
    <xf numFmtId="164" fontId="30" fillId="8" borderId="53" xfId="0" applyNumberFormat="1" applyFont="1" applyFill="1" applyBorder="1" applyAlignment="1">
      <alignment horizontal="center" vertical="center" wrapText="1"/>
    </xf>
    <xf numFmtId="0" fontId="29" fillId="0" borderId="49" xfId="0" applyFont="1" applyBorder="1" applyAlignment="1">
      <alignment vertical="center" wrapText="1" shrinkToFit="1"/>
    </xf>
    <xf numFmtId="164" fontId="30" fillId="0" borderId="49" xfId="0" applyNumberFormat="1" applyFont="1" applyBorder="1" applyAlignment="1">
      <alignment horizontal="center" vertical="center" wrapText="1"/>
    </xf>
    <xf numFmtId="10" fontId="29" fillId="0" borderId="54" xfId="0" applyNumberFormat="1" applyFont="1" applyBorder="1" applyAlignment="1">
      <alignment vertical="center" wrapText="1" shrinkToFit="1"/>
    </xf>
    <xf numFmtId="10" fontId="30" fillId="8" borderId="48" xfId="0" applyNumberFormat="1" applyFont="1" applyFill="1" applyBorder="1" applyAlignment="1">
      <alignment vertical="center" wrapText="1"/>
    </xf>
    <xf numFmtId="10" fontId="30" fillId="0" borderId="55" xfId="0" applyNumberFormat="1" applyFont="1" applyBorder="1" applyAlignment="1">
      <alignment horizontal="center" vertical="center" wrapText="1"/>
    </xf>
    <xf numFmtId="164" fontId="29" fillId="0" borderId="0" xfId="0" applyNumberFormat="1" applyFont="1" applyAlignment="1">
      <alignment shrinkToFit="1"/>
    </xf>
    <xf numFmtId="10" fontId="30" fillId="0" borderId="49" xfId="0" applyNumberFormat="1" applyFont="1" applyBorder="1" applyAlignment="1">
      <alignment horizontal="center" vertical="center" wrapText="1"/>
    </xf>
    <xf numFmtId="10" fontId="29" fillId="0" borderId="55" xfId="0" applyNumberFormat="1" applyFont="1" applyBorder="1" applyAlignment="1">
      <alignment horizontal="center" vertical="center" wrapText="1" shrinkToFit="1"/>
    </xf>
    <xf numFmtId="164" fontId="30" fillId="8" borderId="49" xfId="0" applyNumberFormat="1" applyFont="1" applyFill="1" applyBorder="1" applyAlignment="1">
      <alignment horizontal="center" vertical="center" wrapText="1"/>
    </xf>
    <xf numFmtId="164" fontId="29" fillId="0" borderId="49" xfId="0" applyNumberFormat="1" applyFont="1" applyBorder="1" applyAlignment="1">
      <alignment horizontal="center" vertical="center" wrapText="1" shrinkToFit="1"/>
    </xf>
    <xf numFmtId="14" fontId="30" fillId="0" borderId="49" xfId="0" applyNumberFormat="1" applyFont="1" applyBorder="1" applyAlignment="1">
      <alignment horizontal="center" vertical="center" wrapText="1"/>
    </xf>
    <xf numFmtId="14" fontId="29" fillId="0" borderId="49" xfId="0" applyNumberFormat="1" applyFont="1" applyBorder="1" applyAlignment="1">
      <alignment horizontal="center" vertical="center" wrapText="1" shrinkToFit="1"/>
    </xf>
    <xf numFmtId="14" fontId="29" fillId="0" borderId="53" xfId="0" applyNumberFormat="1" applyFont="1" applyBorder="1" applyAlignment="1">
      <alignment horizontal="center" vertical="center" wrapText="1" shrinkToFit="1"/>
    </xf>
    <xf numFmtId="0" fontId="30" fillId="8" borderId="56" xfId="0" applyFont="1" applyFill="1" applyBorder="1" applyAlignment="1">
      <alignment horizontal="center" vertical="center" wrapText="1"/>
    </xf>
    <xf numFmtId="0" fontId="29" fillId="0" borderId="0" xfId="0" applyFont="1" applyAlignment="1">
      <alignment shrinkToFit="1"/>
    </xf>
    <xf numFmtId="0" fontId="30" fillId="0" borderId="0" xfId="0" applyFont="1"/>
    <xf numFmtId="164" fontId="12" fillId="2" borderId="1" xfId="0" applyNumberFormat="1" applyFont="1" applyFill="1" applyBorder="1" applyAlignment="1">
      <alignment shrinkToFit="1"/>
    </xf>
    <xf numFmtId="0" fontId="3" fillId="11" borderId="1" xfId="0" applyFont="1" applyFill="1" applyBorder="1" applyProtection="1">
      <protection locked="0"/>
    </xf>
    <xf numFmtId="164" fontId="3" fillId="2" borderId="5" xfId="0" applyNumberFormat="1" applyFont="1" applyFill="1" applyBorder="1" applyAlignment="1" applyProtection="1">
      <alignment vertical="center"/>
      <protection locked="0"/>
    </xf>
    <xf numFmtId="164" fontId="3" fillId="2" borderId="2" xfId="0" applyNumberFormat="1" applyFont="1" applyFill="1" applyBorder="1" applyAlignment="1" applyProtection="1">
      <alignment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 wrapText="1"/>
      <protection locked="0"/>
    </xf>
    <xf numFmtId="164" fontId="3" fillId="2" borderId="6" xfId="0" applyNumberFormat="1" applyFont="1" applyFill="1" applyBorder="1" applyProtection="1">
      <protection locked="0"/>
    </xf>
    <xf numFmtId="164" fontId="3" fillId="0" borderId="2" xfId="0" applyNumberFormat="1" applyFont="1" applyBorder="1" applyProtection="1">
      <protection locked="0"/>
    </xf>
    <xf numFmtId="164" fontId="12" fillId="0" borderId="6" xfId="0" applyNumberFormat="1" applyFont="1" applyBorder="1" applyAlignment="1">
      <alignment shrinkToFit="1"/>
    </xf>
    <xf numFmtId="8" fontId="3" fillId="2" borderId="2" xfId="0" applyNumberFormat="1" applyFont="1" applyFill="1" applyBorder="1" applyProtection="1">
      <protection locked="0"/>
    </xf>
    <xf numFmtId="8" fontId="12" fillId="0" borderId="2" xfId="0" applyNumberFormat="1" applyFont="1" applyBorder="1" applyAlignment="1">
      <alignment shrinkToFit="1"/>
    </xf>
    <xf numFmtId="164" fontId="9" fillId="2" borderId="4" xfId="0" applyNumberFormat="1" applyFont="1" applyFill="1" applyBorder="1" applyProtection="1">
      <protection locked="0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 shrinkToFit="1"/>
    </xf>
    <xf numFmtId="10" fontId="4" fillId="0" borderId="0" xfId="0" applyNumberFormat="1" applyFont="1" applyAlignment="1">
      <alignment horizontal="center" vertical="center" wrapText="1" shrinkToFit="1"/>
    </xf>
    <xf numFmtId="10" fontId="5" fillId="0" borderId="0" xfId="0" applyNumberFormat="1" applyFont="1" applyAlignment="1">
      <alignment horizontal="center" vertical="center" wrapText="1"/>
    </xf>
    <xf numFmtId="8" fontId="12" fillId="0" borderId="0" xfId="0" applyNumberFormat="1" applyFont="1" applyAlignment="1">
      <alignment shrinkToFit="1"/>
    </xf>
    <xf numFmtId="0" fontId="30" fillId="8" borderId="35" xfId="0" applyFont="1" applyFill="1" applyBorder="1" applyAlignment="1">
      <alignment vertical="center" wrapText="1"/>
    </xf>
    <xf numFmtId="2" fontId="30" fillId="0" borderId="0" xfId="0" applyNumberFormat="1" applyFont="1" applyAlignment="1">
      <alignment vertical="center" wrapText="1"/>
    </xf>
    <xf numFmtId="2" fontId="29" fillId="0" borderId="0" xfId="0" applyNumberFormat="1" applyFont="1" applyAlignment="1">
      <alignment vertical="center" wrapText="1" shrinkToFit="1"/>
    </xf>
    <xf numFmtId="14" fontId="30" fillId="0" borderId="0" xfId="0" applyNumberFormat="1" applyFont="1" applyAlignment="1">
      <alignment vertical="center" wrapText="1"/>
    </xf>
    <xf numFmtId="14" fontId="29" fillId="0" borderId="0" xfId="0" applyNumberFormat="1" applyFont="1" applyAlignment="1">
      <alignment vertical="center" wrapText="1" shrinkToFit="1"/>
    </xf>
    <xf numFmtId="10" fontId="3" fillId="9" borderId="43" xfId="0" applyNumberFormat="1" applyFont="1" applyFill="1" applyBorder="1" applyProtection="1">
      <protection locked="0"/>
    </xf>
    <xf numFmtId="0" fontId="12" fillId="0" borderId="0" xfId="0" applyFont="1" applyAlignment="1">
      <alignment vertical="center" shrinkToFit="1"/>
    </xf>
    <xf numFmtId="0" fontId="3" fillId="0" borderId="0" xfId="0" applyFont="1" applyAlignment="1">
      <alignment vertical="center"/>
    </xf>
    <xf numFmtId="0" fontId="12" fillId="0" borderId="8" xfId="0" applyFont="1" applyBorder="1" applyAlignment="1">
      <alignment vertical="center" shrinkToFit="1"/>
    </xf>
    <xf numFmtId="164" fontId="12" fillId="0" borderId="0" xfId="0" applyNumberFormat="1" applyFont="1" applyAlignment="1">
      <alignment vertical="center" shrinkToFit="1"/>
    </xf>
    <xf numFmtId="164" fontId="3" fillId="0" borderId="0" xfId="0" applyNumberFormat="1" applyFont="1" applyAlignment="1">
      <alignment vertical="center"/>
    </xf>
    <xf numFmtId="10" fontId="3" fillId="0" borderId="0" xfId="0" applyNumberFormat="1" applyFont="1" applyAlignment="1">
      <alignment vertical="center"/>
    </xf>
    <xf numFmtId="10" fontId="12" fillId="0" borderId="0" xfId="0" applyNumberFormat="1" applyFont="1" applyAlignment="1">
      <alignment vertical="center" shrinkToFit="1"/>
    </xf>
    <xf numFmtId="164" fontId="3" fillId="12" borderId="2" xfId="0" applyNumberFormat="1" applyFont="1" applyFill="1" applyBorder="1" applyProtection="1">
      <protection locked="0"/>
    </xf>
    <xf numFmtId="2" fontId="3" fillId="0" borderId="0" xfId="0" applyNumberFormat="1" applyFont="1" applyAlignment="1">
      <alignment vertical="center"/>
    </xf>
    <xf numFmtId="2" fontId="12" fillId="0" borderId="0" xfId="0" applyNumberFormat="1" applyFont="1" applyAlignment="1">
      <alignment vertical="center" shrinkToFit="1"/>
    </xf>
    <xf numFmtId="14" fontId="12" fillId="0" borderId="0" xfId="0" applyNumberFormat="1" applyFont="1" applyAlignment="1">
      <alignment vertical="center" shrinkToFit="1"/>
    </xf>
    <xf numFmtId="14" fontId="3" fillId="0" borderId="0" xfId="0" applyNumberFormat="1" applyFont="1" applyAlignment="1">
      <alignment vertical="center"/>
    </xf>
    <xf numFmtId="164" fontId="3" fillId="12" borderId="1" xfId="0" applyNumberFormat="1" applyFont="1" applyFill="1" applyBorder="1" applyProtection="1">
      <protection locked="0"/>
    </xf>
    <xf numFmtId="0" fontId="35" fillId="3" borderId="0" xfId="0" applyNumberFormat="1" applyFont="1" applyFill="1" applyAlignment="1" applyProtection="1">
      <alignment vertical="center"/>
      <protection locked="0"/>
    </xf>
    <xf numFmtId="0" fontId="35" fillId="4" borderId="0" xfId="0" applyNumberFormat="1" applyFont="1" applyFill="1" applyAlignment="1" applyProtection="1">
      <alignment vertical="center"/>
      <protection locked="0"/>
    </xf>
    <xf numFmtId="0" fontId="35" fillId="0" borderId="0" xfId="0" applyNumberFormat="1" applyFont="1" applyAlignment="1">
      <alignment vertical="center"/>
    </xf>
    <xf numFmtId="0" fontId="15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9" fillId="7" borderId="50" xfId="0" applyFont="1" applyFill="1" applyBorder="1" applyAlignment="1">
      <alignment horizontal="left" vertical="center"/>
    </xf>
    <xf numFmtId="0" fontId="9" fillId="7" borderId="51" xfId="0" applyFont="1" applyFill="1" applyBorder="1" applyAlignment="1">
      <alignment horizontal="left" vertical="center"/>
    </xf>
    <xf numFmtId="0" fontId="9" fillId="7" borderId="52" xfId="0" applyFont="1" applyFill="1" applyBorder="1" applyAlignment="1">
      <alignment horizontal="left" vertical="center"/>
    </xf>
    <xf numFmtId="0" fontId="9" fillId="7" borderId="51" xfId="0" applyFont="1" applyFill="1" applyBorder="1" applyAlignment="1">
      <alignment vertical="center"/>
    </xf>
    <xf numFmtId="0" fontId="9" fillId="7" borderId="52" xfId="0" applyFont="1" applyFill="1" applyBorder="1" applyAlignment="1">
      <alignment vertical="center"/>
    </xf>
    <xf numFmtId="0" fontId="6" fillId="6" borderId="51" xfId="0" applyFont="1" applyFill="1" applyBorder="1" applyAlignment="1">
      <alignment vertical="center"/>
    </xf>
    <xf numFmtId="0" fontId="6" fillId="6" borderId="52" xfId="0" applyFont="1" applyFill="1" applyBorder="1" applyAlignment="1">
      <alignment vertical="center"/>
    </xf>
    <xf numFmtId="0" fontId="9" fillId="6" borderId="50" xfId="0" applyFont="1" applyFill="1" applyBorder="1" applyAlignment="1">
      <alignment horizontal="left" vertical="center"/>
    </xf>
    <xf numFmtId="0" fontId="9" fillId="6" borderId="51" xfId="0" applyFont="1" applyFill="1" applyBorder="1" applyAlignment="1">
      <alignment horizontal="left" vertical="center"/>
    </xf>
    <xf numFmtId="0" fontId="9" fillId="6" borderId="52" xfId="0" applyFont="1" applyFill="1" applyBorder="1" applyAlignment="1">
      <alignment horizontal="left" vertical="center"/>
    </xf>
    <xf numFmtId="0" fontId="6" fillId="6" borderId="9" xfId="0" applyFont="1" applyFill="1" applyBorder="1" applyAlignment="1">
      <alignment horizontal="center"/>
    </xf>
    <xf numFmtId="0" fontId="9" fillId="6" borderId="12" xfId="0" applyFont="1" applyFill="1" applyBorder="1" applyAlignment="1">
      <alignment horizontal="center" vertical="center"/>
    </xf>
    <xf numFmtId="0" fontId="9" fillId="6" borderId="13" xfId="0" applyFont="1" applyFill="1" applyBorder="1" applyAlignment="1">
      <alignment horizontal="center" vertical="center"/>
    </xf>
    <xf numFmtId="0" fontId="9" fillId="6" borderId="14" xfId="0" applyFont="1" applyFill="1" applyBorder="1" applyAlignment="1">
      <alignment horizontal="center" vertical="center"/>
    </xf>
    <xf numFmtId="0" fontId="9" fillId="6" borderId="16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164" fontId="9" fillId="6" borderId="19" xfId="0" applyNumberFormat="1" applyFont="1" applyFill="1" applyBorder="1" applyAlignment="1">
      <alignment horizontal="center" vertical="center"/>
    </xf>
    <xf numFmtId="164" fontId="9" fillId="6" borderId="20" xfId="0" applyNumberFormat="1" applyFont="1" applyFill="1" applyBorder="1" applyAlignment="1">
      <alignment horizontal="center" vertical="center"/>
    </xf>
    <xf numFmtId="164" fontId="9" fillId="6" borderId="21" xfId="0" applyNumberFormat="1" applyFont="1" applyFill="1" applyBorder="1" applyAlignment="1">
      <alignment horizontal="center" vertical="center"/>
    </xf>
    <xf numFmtId="164" fontId="9" fillId="7" borderId="23" xfId="0" applyNumberFormat="1" applyFont="1" applyFill="1" applyBorder="1" applyAlignment="1">
      <alignment horizontal="center" vertical="center"/>
    </xf>
    <xf numFmtId="164" fontId="9" fillId="7" borderId="20" xfId="0" applyNumberFormat="1" applyFont="1" applyFill="1" applyBorder="1" applyAlignment="1">
      <alignment horizontal="center" vertical="center"/>
    </xf>
    <xf numFmtId="164" fontId="9" fillId="7" borderId="24" xfId="0" applyNumberFormat="1" applyFont="1" applyFill="1" applyBorder="1" applyAlignment="1">
      <alignment horizontal="center" vertical="center"/>
    </xf>
    <xf numFmtId="10" fontId="9" fillId="7" borderId="23" xfId="0" applyNumberFormat="1" applyFont="1" applyFill="1" applyBorder="1" applyAlignment="1">
      <alignment horizontal="center" vertical="center"/>
    </xf>
    <xf numFmtId="10" fontId="9" fillId="7" borderId="20" xfId="0" applyNumberFormat="1" applyFont="1" applyFill="1" applyBorder="1" applyAlignment="1">
      <alignment horizontal="center" vertical="center"/>
    </xf>
    <xf numFmtId="10" fontId="9" fillId="7" borderId="24" xfId="0" applyNumberFormat="1" applyFont="1" applyFill="1" applyBorder="1" applyAlignment="1">
      <alignment horizontal="center" vertical="center"/>
    </xf>
    <xf numFmtId="10" fontId="9" fillId="6" borderId="28" xfId="0" applyNumberFormat="1" applyFont="1" applyFill="1" applyBorder="1" applyAlignment="1">
      <alignment horizontal="center" vertical="center"/>
    </xf>
    <xf numFmtId="10" fontId="9" fillId="6" borderId="29" xfId="0" applyNumberFormat="1" applyFont="1" applyFill="1" applyBorder="1" applyAlignment="1">
      <alignment horizontal="center" vertical="center"/>
    </xf>
    <xf numFmtId="10" fontId="9" fillId="6" borderId="30" xfId="0" applyNumberFormat="1" applyFont="1" applyFill="1" applyBorder="1" applyAlignment="1">
      <alignment horizontal="center" vertical="center"/>
    </xf>
    <xf numFmtId="14" fontId="24" fillId="5" borderId="16" xfId="0" applyNumberFormat="1" applyFont="1" applyFill="1" applyBorder="1" applyAlignment="1">
      <alignment horizontal="center" vertical="center"/>
    </xf>
    <xf numFmtId="14" fontId="24" fillId="5" borderId="17" xfId="0" applyNumberFormat="1" applyFont="1" applyFill="1" applyBorder="1" applyAlignment="1">
      <alignment horizontal="center" vertical="center"/>
    </xf>
    <xf numFmtId="14" fontId="24" fillId="5" borderId="34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vertical="top" wrapText="1"/>
    </xf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A8D08D"/>
      <color rgb="FF98BE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published="0"/>
  <dimension ref="A1:CI233"/>
  <sheetViews>
    <sheetView tabSelected="1" zoomScaleNormal="100" workbookViewId="0">
      <selection activeCell="S5" sqref="S5"/>
    </sheetView>
  </sheetViews>
  <sheetFormatPr baseColWidth="10" defaultColWidth="5.875" defaultRowHeight="11.25"/>
  <cols>
    <col min="1" max="1" width="0.125" style="9" customWidth="1"/>
    <col min="2" max="2" width="0.125" style="23" customWidth="1"/>
    <col min="3" max="3" width="5.875" style="4"/>
    <col min="4" max="4" width="0.125" style="26" customWidth="1"/>
    <col min="5" max="5" width="5.875" style="4"/>
    <col min="6" max="6" width="0.125" style="26" customWidth="1"/>
    <col min="7" max="7" width="5.875" style="4"/>
    <col min="8" max="8" width="0.125" style="26" customWidth="1"/>
    <col min="9" max="9" width="5.875" style="4"/>
    <col min="10" max="10" width="0.125" style="26" customWidth="1"/>
    <col min="11" max="11" width="5.875" style="4"/>
    <col min="12" max="12" width="0.125" style="26" customWidth="1"/>
    <col min="13" max="13" width="5.875" style="4" customWidth="1"/>
    <col min="14" max="14" width="0.125" style="26" customWidth="1"/>
    <col min="15" max="15" width="5.875" style="4"/>
    <col min="16" max="16" width="0.125" style="26" customWidth="1"/>
    <col min="17" max="17" width="5.875" style="4"/>
    <col min="18" max="18" width="0.125" style="49" customWidth="1"/>
    <col min="19" max="19" width="10" style="4" customWidth="1"/>
    <col min="20" max="20" width="0.125" style="49" customWidth="1"/>
    <col min="21" max="21" width="5.875" style="4"/>
    <col min="22" max="22" width="0.125" style="26" customWidth="1"/>
    <col min="23" max="23" width="5.875" style="4"/>
    <col min="24" max="24" width="0.125" style="26" customWidth="1"/>
    <col min="25" max="25" width="5.875" style="6" customWidth="1"/>
    <col min="26" max="26" width="0.125" style="30" customWidth="1"/>
    <col min="27" max="27" width="5.875" style="4"/>
    <col min="28" max="28" width="0.125" style="26" customWidth="1"/>
    <col min="29" max="29" width="5.875" style="4"/>
    <col min="30" max="30" width="0.125" style="26" customWidth="1"/>
    <col min="31" max="31" width="5.875" style="5"/>
    <col min="32" max="32" width="0.125" style="31" customWidth="1"/>
    <col min="33" max="33" width="5.875" style="5"/>
    <col min="34" max="34" width="0.125" style="31" customWidth="1"/>
    <col min="35" max="35" width="5.875" style="5"/>
    <col min="36" max="36" width="0.125" style="31" customWidth="1"/>
    <col min="37" max="37" width="5.875" style="6" customWidth="1"/>
    <col min="38" max="38" width="0.125" style="30" customWidth="1"/>
    <col min="39" max="39" width="5.875" style="6" customWidth="1"/>
    <col min="40" max="40" width="0.125" style="30" customWidth="1"/>
    <col min="41" max="41" width="5.875" style="6" customWidth="1"/>
    <col min="42" max="42" width="0.125" style="30" customWidth="1"/>
    <col min="43" max="43" width="5.875" style="7"/>
    <col min="44" max="44" width="0.125" style="32" customWidth="1"/>
    <col min="45" max="45" width="5.875" style="6" customWidth="1"/>
    <col min="46" max="46" width="0.125" style="30" customWidth="1"/>
    <col min="47" max="47" width="8.875" style="4" customWidth="1"/>
    <col min="48" max="48" width="0.125" style="26" customWidth="1"/>
    <col min="49" max="49" width="5.875" style="4" customWidth="1"/>
    <col min="50" max="50" width="0.125" style="26" customWidth="1"/>
    <col min="51" max="51" width="5.875" style="4" customWidth="1"/>
    <col min="52" max="52" width="0.125" style="26" customWidth="1"/>
    <col min="53" max="53" width="5.875" style="7" customWidth="1"/>
    <col min="54" max="54" width="0.125" style="32" customWidth="1"/>
    <col min="55" max="55" width="5.875" style="6" customWidth="1"/>
    <col min="56" max="56" width="0.125" style="30" customWidth="1"/>
    <col min="57" max="57" width="8.875" style="4" customWidth="1"/>
    <col min="58" max="58" width="0.125" style="26" customWidth="1"/>
    <col min="59" max="59" width="5.875" style="4" customWidth="1"/>
    <col min="60" max="60" width="0.125" style="26" customWidth="1"/>
    <col min="61" max="61" width="5.875" style="6" customWidth="1"/>
    <col min="62" max="62" width="0.125" style="30" customWidth="1"/>
    <col min="63" max="63" width="8.875" style="4" customWidth="1"/>
    <col min="64" max="64" width="0.125" style="26" customWidth="1"/>
    <col min="65" max="65" width="5.875" style="7"/>
    <col min="66" max="66" width="0.125" style="32" customWidth="1"/>
    <col min="67" max="67" width="5.875" style="7" customWidth="1"/>
    <col min="68" max="68" width="0.125" style="32" customWidth="1"/>
    <col min="69" max="69" width="8.875" style="7" customWidth="1"/>
    <col min="70" max="70" width="0.125" style="32" customWidth="1"/>
    <col min="71" max="71" width="8.875" style="6" customWidth="1"/>
    <col min="72" max="72" width="0.125" style="30" customWidth="1"/>
    <col min="73" max="73" width="8.875" style="6" customWidth="1"/>
    <col min="74" max="74" width="0.125" style="37" customWidth="1"/>
    <col min="75" max="75" width="8.875" style="3" customWidth="1"/>
    <col min="76" max="76" width="0.125" style="36" customWidth="1"/>
    <col min="77" max="77" width="5.875" style="3"/>
    <col min="78" max="78" width="0.125" style="36" customWidth="1"/>
    <col min="79" max="79" width="5.875" style="2" customWidth="1"/>
    <col min="80" max="80" width="0.125" style="28" customWidth="1"/>
    <col min="81" max="81" width="10.875" style="2" customWidth="1"/>
    <col min="82" max="82" width="0.125" style="28" customWidth="1"/>
    <col min="83" max="16384" width="5.875" style="2"/>
  </cols>
  <sheetData>
    <row r="1" spans="3:20" ht="26.25">
      <c r="C1" s="40" t="s">
        <v>70</v>
      </c>
    </row>
    <row r="3" spans="3:20" ht="15.75">
      <c r="C3" s="251" t="s">
        <v>71</v>
      </c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  <c r="O3" s="251"/>
    </row>
    <row r="4" spans="3:20" ht="15.75">
      <c r="C4" s="41"/>
      <c r="D4"/>
      <c r="E4"/>
      <c r="F4"/>
      <c r="G4"/>
      <c r="H4"/>
      <c r="I4"/>
      <c r="J4"/>
    </row>
    <row r="5" spans="3:20" ht="15.95" customHeight="1">
      <c r="C5" s="218" t="s">
        <v>72</v>
      </c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R5" s="49" t="s">
        <v>201</v>
      </c>
      <c r="S5" s="215"/>
      <c r="T5" s="49" t="s">
        <v>42</v>
      </c>
    </row>
    <row r="6" spans="3:20" ht="15.95" customHeight="1">
      <c r="C6" s="218" t="s">
        <v>160</v>
      </c>
      <c r="D6" s="218"/>
      <c r="E6" s="218"/>
      <c r="F6" s="218"/>
      <c r="G6" s="218"/>
      <c r="H6" s="218"/>
      <c r="I6" s="218"/>
      <c r="J6" s="218"/>
      <c r="K6" s="218"/>
      <c r="L6" s="218"/>
      <c r="M6" s="218"/>
      <c r="N6" s="218"/>
      <c r="O6" s="218"/>
      <c r="R6" s="49" t="s">
        <v>202</v>
      </c>
      <c r="S6" s="216"/>
      <c r="T6" s="49" t="s">
        <v>42</v>
      </c>
    </row>
    <row r="7" spans="3:20" ht="15.95" customHeight="1">
      <c r="C7" s="218" t="s">
        <v>73</v>
      </c>
      <c r="D7" s="218"/>
      <c r="E7" s="218"/>
      <c r="F7" s="218"/>
      <c r="G7" s="218"/>
      <c r="H7" s="218"/>
      <c r="I7" s="218"/>
      <c r="J7" s="218"/>
      <c r="K7" s="218"/>
      <c r="L7" s="218"/>
      <c r="M7" s="218"/>
      <c r="N7" s="218"/>
      <c r="O7" s="218"/>
      <c r="R7" s="49" t="s">
        <v>203</v>
      </c>
      <c r="S7" s="215"/>
      <c r="T7" s="49" t="s">
        <v>42</v>
      </c>
    </row>
    <row r="8" spans="3:20" ht="15.95" customHeight="1">
      <c r="C8" s="218" t="s">
        <v>74</v>
      </c>
      <c r="D8" s="218"/>
      <c r="E8" s="218"/>
      <c r="F8" s="218"/>
      <c r="G8" s="218"/>
      <c r="H8" s="218"/>
      <c r="I8" s="218"/>
      <c r="J8" s="218"/>
      <c r="K8" s="218"/>
      <c r="L8" s="218"/>
      <c r="M8" s="218"/>
      <c r="N8" s="218"/>
      <c r="O8" s="218"/>
      <c r="R8" s="49" t="s">
        <v>204</v>
      </c>
      <c r="S8" s="216"/>
      <c r="T8" s="49" t="s">
        <v>42</v>
      </c>
    </row>
    <row r="9" spans="3:20" ht="15.95" customHeight="1">
      <c r="C9" s="218" t="s">
        <v>75</v>
      </c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R9" s="49" t="s">
        <v>205</v>
      </c>
      <c r="S9" s="215"/>
      <c r="T9" s="49" t="s">
        <v>42</v>
      </c>
    </row>
    <row r="10" spans="3:20" ht="15.95" customHeight="1">
      <c r="C10" s="218" t="s">
        <v>161</v>
      </c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R10" s="49" t="s">
        <v>206</v>
      </c>
      <c r="S10" s="216"/>
      <c r="T10" s="49" t="s">
        <v>42</v>
      </c>
    </row>
    <row r="11" spans="3:20" ht="15.95" customHeight="1">
      <c r="C11" s="218" t="s">
        <v>76</v>
      </c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R11" s="49" t="s">
        <v>207</v>
      </c>
      <c r="S11" s="215"/>
      <c r="T11" s="49" t="s">
        <v>42</v>
      </c>
    </row>
    <row r="12" spans="3:20" ht="15.95" customHeight="1">
      <c r="C12" s="218" t="s">
        <v>162</v>
      </c>
      <c r="D12" s="218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R12" s="49" t="s">
        <v>208</v>
      </c>
      <c r="S12" s="216"/>
      <c r="T12" s="49" t="s">
        <v>42</v>
      </c>
    </row>
    <row r="13" spans="3:20" ht="15.95" customHeight="1">
      <c r="C13" s="218" t="s">
        <v>77</v>
      </c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R13" s="49" t="s">
        <v>209</v>
      </c>
      <c r="S13" s="215"/>
      <c r="T13" s="49" t="s">
        <v>42</v>
      </c>
    </row>
    <row r="14" spans="3:20" ht="15.95" customHeight="1">
      <c r="C14" s="218" t="s">
        <v>78</v>
      </c>
      <c r="D14" s="218"/>
      <c r="E14" s="218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R14" s="49" t="s">
        <v>210</v>
      </c>
      <c r="S14" s="216"/>
      <c r="T14" s="49" t="s">
        <v>42</v>
      </c>
    </row>
    <row r="15" spans="3:20" ht="15.95" customHeight="1">
      <c r="C15" s="218" t="s">
        <v>79</v>
      </c>
      <c r="D15" s="218"/>
      <c r="E15" s="218"/>
      <c r="F15" s="218"/>
      <c r="G15" s="218"/>
      <c r="H15" s="218"/>
      <c r="I15" s="218"/>
      <c r="J15" s="218"/>
      <c r="K15" s="218"/>
      <c r="L15" s="218"/>
      <c r="M15" s="218"/>
      <c r="N15" s="218"/>
      <c r="O15" s="218"/>
      <c r="R15" s="49" t="s">
        <v>211</v>
      </c>
      <c r="S15" s="215"/>
      <c r="T15" s="49" t="s">
        <v>42</v>
      </c>
    </row>
    <row r="16" spans="3:20" ht="15.95" customHeight="1">
      <c r="C16" s="218" t="s">
        <v>80</v>
      </c>
      <c r="D16" s="218"/>
      <c r="E16" s="218"/>
      <c r="F16" s="218"/>
      <c r="G16" s="218"/>
      <c r="H16" s="218"/>
      <c r="I16" s="218"/>
      <c r="J16" s="218"/>
      <c r="K16" s="218"/>
      <c r="L16" s="218"/>
      <c r="M16" s="218"/>
      <c r="N16" s="218"/>
      <c r="O16" s="218"/>
      <c r="R16" s="49" t="s">
        <v>212</v>
      </c>
      <c r="S16" s="216"/>
      <c r="T16" s="49" t="s">
        <v>42</v>
      </c>
    </row>
    <row r="17" spans="3:20" ht="15.95" customHeight="1">
      <c r="C17" s="218" t="s">
        <v>81</v>
      </c>
      <c r="D17" s="218"/>
      <c r="E17" s="218"/>
      <c r="F17" s="218"/>
      <c r="G17" s="218"/>
      <c r="H17" s="218"/>
      <c r="I17" s="218"/>
      <c r="J17" s="218"/>
      <c r="K17" s="218"/>
      <c r="L17" s="218"/>
      <c r="M17" s="218"/>
      <c r="N17" s="218"/>
      <c r="O17" s="218"/>
      <c r="R17" s="49" t="s">
        <v>213</v>
      </c>
      <c r="S17" s="215"/>
      <c r="T17" s="49" t="s">
        <v>42</v>
      </c>
    </row>
    <row r="18" spans="3:20" ht="15.95" customHeight="1">
      <c r="C18" s="218" t="s">
        <v>82</v>
      </c>
      <c r="D18" s="218"/>
      <c r="E18" s="218"/>
      <c r="F18" s="218"/>
      <c r="G18" s="218"/>
      <c r="H18" s="218"/>
      <c r="I18" s="218"/>
      <c r="J18" s="218"/>
      <c r="K18" s="218"/>
      <c r="L18" s="218"/>
      <c r="M18" s="218"/>
      <c r="N18" s="218"/>
      <c r="O18" s="218"/>
      <c r="R18" s="49" t="s">
        <v>214</v>
      </c>
      <c r="S18" s="216"/>
      <c r="T18" s="49" t="s">
        <v>42</v>
      </c>
    </row>
    <row r="19" spans="3:20" ht="15.95" customHeight="1">
      <c r="C19" s="218" t="s">
        <v>83</v>
      </c>
      <c r="D19" s="218"/>
      <c r="E19" s="218"/>
      <c r="F19" s="218"/>
      <c r="G19" s="218"/>
      <c r="H19" s="218"/>
      <c r="I19" s="218"/>
      <c r="J19" s="218"/>
      <c r="K19" s="218"/>
      <c r="L19" s="218"/>
      <c r="M19" s="218"/>
      <c r="N19" s="218"/>
      <c r="O19" s="218"/>
      <c r="R19" s="49" t="s">
        <v>215</v>
      </c>
      <c r="S19" s="215"/>
      <c r="T19" s="49" t="s">
        <v>42</v>
      </c>
    </row>
    <row r="20" spans="3:20" ht="15.95" customHeight="1">
      <c r="C20" s="218" t="s">
        <v>84</v>
      </c>
      <c r="D20" s="218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R20" s="49" t="s">
        <v>216</v>
      </c>
      <c r="S20" s="216"/>
      <c r="T20" s="49" t="s">
        <v>42</v>
      </c>
    </row>
    <row r="21" spans="3:20" ht="32.1" customHeight="1">
      <c r="C21" s="255" t="s">
        <v>159</v>
      </c>
      <c r="D21" s="255"/>
      <c r="E21" s="255"/>
      <c r="F21" s="255"/>
      <c r="G21" s="255"/>
      <c r="H21" s="255"/>
      <c r="I21" s="255"/>
      <c r="J21" s="255"/>
      <c r="K21" s="255"/>
      <c r="L21" s="255"/>
      <c r="M21" s="255"/>
      <c r="N21" s="255"/>
      <c r="O21" s="255"/>
      <c r="P21" s="48"/>
      <c r="Q21" s="48"/>
      <c r="R21" s="49" t="s">
        <v>217</v>
      </c>
      <c r="S21" s="215"/>
      <c r="T21" s="49" t="s">
        <v>42</v>
      </c>
    </row>
    <row r="22" spans="3:20" ht="15.95" customHeight="1">
      <c r="C22" s="218" t="s">
        <v>85</v>
      </c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R22" s="49" t="s">
        <v>218</v>
      </c>
      <c r="S22" s="216"/>
      <c r="T22" s="49" t="s">
        <v>42</v>
      </c>
    </row>
    <row r="23" spans="3:20" ht="15.95" customHeight="1">
      <c r="C23" s="218" t="s">
        <v>86</v>
      </c>
      <c r="D23" s="218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R23" s="49" t="s">
        <v>219</v>
      </c>
      <c r="S23" s="215"/>
      <c r="T23" s="49" t="s">
        <v>42</v>
      </c>
    </row>
    <row r="24" spans="3:20" ht="15.75">
      <c r="C24" s="42"/>
      <c r="D24"/>
      <c r="E24"/>
      <c r="F24"/>
      <c r="G24"/>
      <c r="H24"/>
      <c r="I24"/>
      <c r="J24"/>
      <c r="S24" s="217"/>
    </row>
    <row r="25" spans="3:20" ht="15.75">
      <c r="C25" s="42"/>
      <c r="D25"/>
      <c r="E25"/>
      <c r="F25"/>
      <c r="G25"/>
      <c r="H25"/>
      <c r="I25"/>
      <c r="J25"/>
      <c r="S25" s="217"/>
    </row>
    <row r="26" spans="3:20" ht="15.75">
      <c r="C26" s="251" t="s">
        <v>191</v>
      </c>
      <c r="D26" s="251"/>
      <c r="E26" s="251"/>
      <c r="F26" s="251"/>
      <c r="G26" s="251"/>
      <c r="H26" s="251"/>
      <c r="I26" s="251"/>
      <c r="J26" s="251"/>
      <c r="K26" s="251"/>
      <c r="L26" s="251"/>
      <c r="M26" s="251"/>
      <c r="N26" s="251"/>
      <c r="O26" s="251"/>
      <c r="S26" s="217"/>
    </row>
    <row r="27" spans="3:20" ht="15.75">
      <c r="C27" s="44"/>
      <c r="D27"/>
      <c r="E27"/>
      <c r="F27"/>
      <c r="G27"/>
      <c r="H27"/>
      <c r="I27"/>
      <c r="J27"/>
      <c r="S27" s="217"/>
    </row>
    <row r="28" spans="3:20" ht="15.95" customHeight="1">
      <c r="C28" s="218" t="s">
        <v>87</v>
      </c>
      <c r="D28" s="218"/>
      <c r="E28" s="218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R28" s="49" t="s">
        <v>220</v>
      </c>
      <c r="S28" s="216"/>
      <c r="T28" s="49" t="s">
        <v>42</v>
      </c>
    </row>
    <row r="29" spans="3:20" ht="15.95" customHeight="1">
      <c r="C29" s="218" t="s">
        <v>88</v>
      </c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R29" s="49" t="s">
        <v>221</v>
      </c>
      <c r="S29" s="215"/>
      <c r="T29" s="49" t="s">
        <v>42</v>
      </c>
    </row>
    <row r="30" spans="3:20" ht="15.75">
      <c r="C30" s="42"/>
      <c r="D30"/>
      <c r="E30"/>
      <c r="F30"/>
      <c r="G30"/>
      <c r="H30"/>
      <c r="I30"/>
      <c r="J30"/>
      <c r="S30" s="217"/>
    </row>
    <row r="31" spans="3:20" ht="15.75">
      <c r="C31" s="42"/>
      <c r="D31"/>
      <c r="E31"/>
      <c r="F31"/>
      <c r="G31"/>
      <c r="H31"/>
      <c r="I31"/>
      <c r="J31"/>
      <c r="S31" s="217"/>
    </row>
    <row r="32" spans="3:20" ht="15.75">
      <c r="C32" s="251" t="s">
        <v>190</v>
      </c>
      <c r="D32" s="251"/>
      <c r="E32" s="251"/>
      <c r="F32" s="251"/>
      <c r="G32" s="251"/>
      <c r="H32" s="251"/>
      <c r="I32" s="251"/>
      <c r="J32" s="251"/>
      <c r="K32" s="251"/>
      <c r="L32" s="251"/>
      <c r="M32" s="251"/>
      <c r="N32" s="251"/>
      <c r="O32" s="251"/>
      <c r="S32" s="217"/>
    </row>
    <row r="33" spans="3:20" ht="15.75">
      <c r="C33" s="42"/>
      <c r="D33"/>
      <c r="E33"/>
      <c r="F33"/>
      <c r="G33"/>
      <c r="H33"/>
      <c r="I33"/>
      <c r="J33"/>
      <c r="S33" s="217"/>
    </row>
    <row r="34" spans="3:20" ht="15.95" customHeight="1">
      <c r="C34" s="218" t="s">
        <v>89</v>
      </c>
      <c r="D34" s="218"/>
      <c r="E34" s="218"/>
      <c r="F34" s="218"/>
      <c r="G34" s="218"/>
      <c r="H34" s="218"/>
      <c r="I34" s="218"/>
      <c r="J34" s="218"/>
      <c r="K34" s="218"/>
      <c r="L34" s="218"/>
      <c r="M34" s="218"/>
      <c r="N34" s="218"/>
      <c r="O34" s="218"/>
      <c r="R34" s="49" t="s">
        <v>222</v>
      </c>
      <c r="S34" s="216"/>
      <c r="T34" s="49" t="s">
        <v>42</v>
      </c>
    </row>
    <row r="35" spans="3:20" ht="15.95" customHeight="1">
      <c r="C35" s="218" t="s">
        <v>90</v>
      </c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R35" s="49" t="s">
        <v>223</v>
      </c>
      <c r="S35" s="215"/>
      <c r="T35" s="49" t="s">
        <v>42</v>
      </c>
    </row>
    <row r="36" spans="3:20" ht="15.75">
      <c r="C36" s="42"/>
      <c r="D36"/>
      <c r="E36"/>
      <c r="F36"/>
      <c r="G36"/>
      <c r="H36"/>
      <c r="I36"/>
      <c r="J36"/>
      <c r="S36" s="217"/>
    </row>
    <row r="37" spans="3:20" ht="15.75">
      <c r="C37" s="42"/>
      <c r="D37"/>
      <c r="E37"/>
      <c r="F37"/>
      <c r="G37"/>
      <c r="H37"/>
      <c r="I37"/>
      <c r="J37"/>
      <c r="S37" s="217"/>
    </row>
    <row r="38" spans="3:20" ht="15.75">
      <c r="C38" s="254" t="s">
        <v>189</v>
      </c>
      <c r="D38" s="254"/>
      <c r="E38" s="254"/>
      <c r="F38" s="254"/>
      <c r="G38" s="254"/>
      <c r="H38" s="254"/>
      <c r="I38" s="254"/>
      <c r="J38" s="254"/>
      <c r="K38" s="254"/>
      <c r="L38" s="254"/>
      <c r="M38" s="254"/>
      <c r="N38" s="254"/>
      <c r="O38" s="254"/>
      <c r="P38" s="254"/>
      <c r="Q38" s="254"/>
      <c r="S38" s="217"/>
    </row>
    <row r="39" spans="3:20" ht="15.75">
      <c r="C39" s="44"/>
      <c r="D39"/>
      <c r="E39"/>
      <c r="F39"/>
      <c r="G39"/>
      <c r="H39"/>
      <c r="I39"/>
      <c r="J39"/>
      <c r="S39" s="217"/>
    </row>
    <row r="40" spans="3:20" ht="15.95" customHeight="1">
      <c r="C40" s="218" t="s">
        <v>91</v>
      </c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8"/>
      <c r="R40" s="23" t="s">
        <v>224</v>
      </c>
      <c r="S40" s="216"/>
      <c r="T40" s="49" t="s">
        <v>42</v>
      </c>
    </row>
    <row r="41" spans="3:20" ht="15.95" customHeight="1">
      <c r="C41" s="218" t="s">
        <v>163</v>
      </c>
      <c r="D41" s="218"/>
      <c r="E41" s="218"/>
      <c r="F41" s="218"/>
      <c r="G41" s="218"/>
      <c r="H41" s="218"/>
      <c r="I41" s="218"/>
      <c r="J41" s="218"/>
      <c r="K41" s="218"/>
      <c r="L41" s="218"/>
      <c r="M41" s="218"/>
      <c r="N41" s="218"/>
      <c r="O41" s="218"/>
      <c r="R41" s="23" t="s">
        <v>225</v>
      </c>
      <c r="S41" s="215"/>
      <c r="T41" s="49" t="s">
        <v>42</v>
      </c>
    </row>
    <row r="42" spans="3:20" ht="15.75">
      <c r="C42" s="45" t="s">
        <v>92</v>
      </c>
      <c r="D42"/>
      <c r="E42"/>
      <c r="F42"/>
      <c r="G42"/>
      <c r="H42"/>
      <c r="I42"/>
      <c r="J42"/>
      <c r="S42" s="217"/>
    </row>
    <row r="43" spans="3:20" ht="15.75">
      <c r="C43" s="42"/>
      <c r="D43"/>
      <c r="E43"/>
      <c r="F43"/>
      <c r="G43"/>
      <c r="H43"/>
      <c r="I43"/>
      <c r="J43"/>
      <c r="S43" s="217"/>
    </row>
    <row r="44" spans="3:20" ht="15.75">
      <c r="C44" s="42"/>
      <c r="D44"/>
      <c r="E44"/>
      <c r="F44"/>
      <c r="G44"/>
      <c r="H44"/>
      <c r="I44"/>
      <c r="J44"/>
      <c r="S44" s="217"/>
    </row>
    <row r="45" spans="3:20" ht="15.75">
      <c r="C45" s="251" t="s">
        <v>188</v>
      </c>
      <c r="D45" s="251"/>
      <c r="E45" s="251"/>
      <c r="F45" s="251"/>
      <c r="G45" s="251"/>
      <c r="H45" s="251"/>
      <c r="I45" s="251"/>
      <c r="J45" s="251"/>
      <c r="K45" s="251"/>
      <c r="L45" s="251"/>
      <c r="M45" s="251"/>
      <c r="N45" s="251"/>
      <c r="O45" s="251"/>
      <c r="S45" s="217"/>
    </row>
    <row r="46" spans="3:20" ht="15.75">
      <c r="C46" s="44"/>
      <c r="D46"/>
      <c r="E46"/>
      <c r="F46"/>
      <c r="G46"/>
      <c r="H46"/>
      <c r="I46"/>
      <c r="J46"/>
      <c r="S46" s="217"/>
    </row>
    <row r="47" spans="3:20" ht="15.95" customHeight="1">
      <c r="C47" s="218" t="s">
        <v>93</v>
      </c>
      <c r="D47" s="218"/>
      <c r="E47" s="218"/>
      <c r="F47" s="218"/>
      <c r="G47" s="218"/>
      <c r="H47" s="218"/>
      <c r="I47" s="218"/>
      <c r="J47" s="218"/>
      <c r="K47" s="218"/>
      <c r="L47" s="218"/>
      <c r="M47" s="218"/>
      <c r="N47" s="218"/>
      <c r="O47" s="218"/>
      <c r="R47" s="49" t="s">
        <v>226</v>
      </c>
      <c r="S47" s="216"/>
      <c r="T47" s="49" t="s">
        <v>42</v>
      </c>
    </row>
    <row r="48" spans="3:20" ht="15.95" customHeight="1">
      <c r="C48" s="218" t="s">
        <v>94</v>
      </c>
      <c r="D48" s="218"/>
      <c r="E48" s="218"/>
      <c r="F48" s="218"/>
      <c r="G48" s="218"/>
      <c r="H48" s="218"/>
      <c r="I48" s="218"/>
      <c r="J48" s="218"/>
      <c r="K48" s="218"/>
      <c r="L48" s="218"/>
      <c r="M48" s="218"/>
      <c r="N48" s="218"/>
      <c r="O48" s="218"/>
      <c r="R48" s="49" t="s">
        <v>227</v>
      </c>
      <c r="S48" s="215"/>
      <c r="T48" s="49" t="s">
        <v>42</v>
      </c>
    </row>
    <row r="49" spans="3:20" ht="15.95" customHeight="1">
      <c r="C49" s="218" t="s">
        <v>95</v>
      </c>
      <c r="D49" s="218"/>
      <c r="E49" s="218"/>
      <c r="F49" s="218"/>
      <c r="G49" s="218"/>
      <c r="H49" s="218"/>
      <c r="I49" s="218"/>
      <c r="J49" s="218"/>
      <c r="K49" s="218"/>
      <c r="L49" s="218"/>
      <c r="M49" s="218"/>
      <c r="N49" s="218"/>
      <c r="O49" s="218"/>
      <c r="R49" s="49" t="s">
        <v>228</v>
      </c>
      <c r="S49" s="216"/>
      <c r="T49" s="49" t="s">
        <v>42</v>
      </c>
    </row>
    <row r="50" spans="3:20" ht="15.95" customHeight="1">
      <c r="C50" s="218" t="s">
        <v>96</v>
      </c>
      <c r="D50" s="218"/>
      <c r="E50" s="218"/>
      <c r="F50" s="218"/>
      <c r="G50" s="218"/>
      <c r="H50" s="218"/>
      <c r="I50" s="218"/>
      <c r="J50" s="218"/>
      <c r="K50" s="218"/>
      <c r="L50" s="218"/>
      <c r="M50" s="218"/>
      <c r="N50" s="218"/>
      <c r="O50" s="218"/>
      <c r="R50" s="49" t="s">
        <v>229</v>
      </c>
      <c r="S50" s="215"/>
      <c r="T50" s="49" t="s">
        <v>42</v>
      </c>
    </row>
    <row r="51" spans="3:20" ht="15.95" customHeight="1">
      <c r="C51" s="218" t="s">
        <v>97</v>
      </c>
      <c r="D51" s="218"/>
      <c r="E51" s="218"/>
      <c r="F51" s="218"/>
      <c r="G51" s="218"/>
      <c r="H51" s="218"/>
      <c r="I51" s="218"/>
      <c r="J51" s="218"/>
      <c r="K51" s="218"/>
      <c r="L51" s="218"/>
      <c r="M51" s="218"/>
      <c r="N51" s="218"/>
      <c r="O51" s="218"/>
      <c r="R51" s="49" t="s">
        <v>230</v>
      </c>
      <c r="S51" s="216"/>
      <c r="T51" s="49" t="s">
        <v>42</v>
      </c>
    </row>
    <row r="52" spans="3:20" ht="15.95" customHeight="1">
      <c r="C52" s="218" t="s">
        <v>98</v>
      </c>
      <c r="D52" s="218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R52" s="49" t="s">
        <v>231</v>
      </c>
      <c r="S52" s="215"/>
      <c r="T52" s="49" t="s">
        <v>42</v>
      </c>
    </row>
    <row r="53" spans="3:20" ht="15.95" customHeight="1">
      <c r="C53" s="218" t="s">
        <v>99</v>
      </c>
      <c r="D53" s="218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R53" s="49" t="s">
        <v>232</v>
      </c>
      <c r="S53" s="216"/>
      <c r="T53" s="49" t="s">
        <v>42</v>
      </c>
    </row>
    <row r="54" spans="3:20" ht="15.95" customHeight="1">
      <c r="C54" s="218" t="s">
        <v>100</v>
      </c>
      <c r="D54" s="218"/>
      <c r="E54" s="218"/>
      <c r="F54" s="218"/>
      <c r="G54" s="218"/>
      <c r="H54" s="218"/>
      <c r="I54" s="218"/>
      <c r="J54" s="218"/>
      <c r="K54" s="218"/>
      <c r="L54" s="218"/>
      <c r="M54" s="218"/>
      <c r="N54" s="218"/>
      <c r="O54" s="218"/>
      <c r="R54" s="49" t="s">
        <v>233</v>
      </c>
      <c r="S54" s="215"/>
      <c r="T54" s="49" t="s">
        <v>42</v>
      </c>
    </row>
    <row r="55" spans="3:20" ht="15.75">
      <c r="C55" s="42"/>
      <c r="D55"/>
      <c r="E55"/>
      <c r="F55"/>
      <c r="G55"/>
      <c r="H55"/>
      <c r="I55"/>
      <c r="J55"/>
      <c r="S55" s="217"/>
    </row>
    <row r="56" spans="3:20" ht="15.95" customHeight="1">
      <c r="C56" s="219" t="s">
        <v>187</v>
      </c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S56" s="217"/>
    </row>
    <row r="57" spans="3:20" ht="15.75">
      <c r="C57" s="42"/>
      <c r="D57"/>
      <c r="E57"/>
      <c r="F57"/>
      <c r="G57"/>
      <c r="H57"/>
      <c r="I57"/>
      <c r="J57"/>
      <c r="S57" s="217"/>
    </row>
    <row r="58" spans="3:20" ht="15.95" customHeight="1">
      <c r="C58" s="218" t="s">
        <v>101</v>
      </c>
      <c r="D58" s="218"/>
      <c r="E58" s="218"/>
      <c r="F58" s="218"/>
      <c r="G58" s="218"/>
      <c r="H58" s="218"/>
      <c r="I58" s="218"/>
      <c r="J58" s="218"/>
      <c r="K58" s="218"/>
      <c r="L58" s="218"/>
      <c r="M58" s="218"/>
      <c r="N58" s="218"/>
      <c r="O58" s="218"/>
      <c r="R58" s="49" t="s">
        <v>234</v>
      </c>
      <c r="S58" s="216"/>
      <c r="T58" s="49" t="s">
        <v>42</v>
      </c>
    </row>
    <row r="59" spans="3:20" ht="15.95" customHeight="1">
      <c r="C59" s="218" t="s">
        <v>102</v>
      </c>
      <c r="D59" s="218"/>
      <c r="E59" s="218"/>
      <c r="F59" s="218"/>
      <c r="G59" s="218"/>
      <c r="H59" s="218"/>
      <c r="I59" s="218"/>
      <c r="J59" s="218"/>
      <c r="K59" s="218"/>
      <c r="L59" s="218"/>
      <c r="M59" s="218"/>
      <c r="N59" s="218"/>
      <c r="O59" s="218"/>
      <c r="R59" s="49" t="s">
        <v>235</v>
      </c>
      <c r="S59" s="215"/>
      <c r="T59" s="49" t="s">
        <v>42</v>
      </c>
    </row>
    <row r="60" spans="3:20" ht="15.95" customHeight="1">
      <c r="C60" s="218" t="s">
        <v>103</v>
      </c>
      <c r="D60" s="218"/>
      <c r="E60" s="218"/>
      <c r="F60" s="218"/>
      <c r="G60" s="218"/>
      <c r="H60" s="218"/>
      <c r="I60" s="218"/>
      <c r="J60" s="218"/>
      <c r="K60" s="218"/>
      <c r="L60" s="218"/>
      <c r="M60" s="218"/>
      <c r="N60" s="218"/>
      <c r="O60" s="218"/>
      <c r="R60" s="23" t="s">
        <v>236</v>
      </c>
      <c r="S60" s="216"/>
      <c r="T60" s="49" t="s">
        <v>42</v>
      </c>
    </row>
    <row r="61" spans="3:20" ht="15.95" customHeight="1">
      <c r="C61" s="218" t="s">
        <v>104</v>
      </c>
      <c r="D61" s="218"/>
      <c r="E61" s="218"/>
      <c r="F61" s="218"/>
      <c r="G61" s="218"/>
      <c r="H61" s="218"/>
      <c r="I61" s="218"/>
      <c r="J61" s="218"/>
      <c r="K61" s="218"/>
      <c r="L61" s="218"/>
      <c r="M61" s="218"/>
      <c r="N61" s="218"/>
      <c r="O61" s="218"/>
      <c r="R61" s="49" t="s">
        <v>237</v>
      </c>
      <c r="S61" s="215"/>
      <c r="T61" s="49" t="s">
        <v>42</v>
      </c>
    </row>
    <row r="62" spans="3:20" ht="15.95" customHeight="1">
      <c r="C62" s="218" t="s">
        <v>105</v>
      </c>
      <c r="D62" s="218"/>
      <c r="E62" s="218"/>
      <c r="F62" s="218"/>
      <c r="G62" s="218"/>
      <c r="H62" s="218"/>
      <c r="I62" s="218"/>
      <c r="J62" s="218"/>
      <c r="K62" s="218"/>
      <c r="L62" s="218"/>
      <c r="M62" s="218"/>
      <c r="N62" s="218"/>
      <c r="O62" s="218"/>
      <c r="R62" s="49" t="s">
        <v>238</v>
      </c>
      <c r="S62" s="216"/>
      <c r="T62" s="49" t="s">
        <v>42</v>
      </c>
    </row>
    <row r="63" spans="3:20" ht="15.95" customHeight="1">
      <c r="C63" s="218" t="s">
        <v>106</v>
      </c>
      <c r="D63" s="218"/>
      <c r="E63" s="218"/>
      <c r="F63" s="218"/>
      <c r="G63" s="218"/>
      <c r="H63" s="218"/>
      <c r="I63" s="218"/>
      <c r="J63" s="218"/>
      <c r="K63" s="218"/>
      <c r="L63" s="218"/>
      <c r="M63" s="218"/>
      <c r="N63" s="218"/>
      <c r="O63" s="218"/>
      <c r="R63" s="49" t="s">
        <v>239</v>
      </c>
      <c r="S63" s="215"/>
      <c r="T63" s="49" t="s">
        <v>42</v>
      </c>
    </row>
    <row r="64" spans="3:20" ht="15.95" customHeight="1">
      <c r="C64" s="218" t="s">
        <v>107</v>
      </c>
      <c r="D64" s="218"/>
      <c r="E64" s="218"/>
      <c r="F64" s="218"/>
      <c r="G64" s="218"/>
      <c r="H64" s="218"/>
      <c r="I64" s="218"/>
      <c r="J64" s="218"/>
      <c r="K64" s="218"/>
      <c r="L64" s="218"/>
      <c r="M64" s="218"/>
      <c r="N64" s="218"/>
      <c r="O64" s="218"/>
      <c r="R64" s="49" t="s">
        <v>240</v>
      </c>
      <c r="S64" s="216"/>
      <c r="T64" s="49" t="s">
        <v>42</v>
      </c>
    </row>
    <row r="65" spans="3:20" ht="15.75">
      <c r="C65" s="42"/>
      <c r="D65"/>
      <c r="E65"/>
      <c r="F65"/>
      <c r="G65"/>
      <c r="H65"/>
      <c r="I65"/>
      <c r="J65"/>
      <c r="S65" s="217"/>
    </row>
    <row r="66" spans="3:20" ht="15.95" customHeight="1">
      <c r="C66" s="219" t="s">
        <v>186</v>
      </c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S66" s="217"/>
    </row>
    <row r="67" spans="3:20" ht="15.75">
      <c r="C67" s="42"/>
      <c r="D67"/>
      <c r="E67"/>
      <c r="F67"/>
      <c r="G67"/>
      <c r="H67"/>
      <c r="I67"/>
      <c r="J67"/>
      <c r="S67" s="217"/>
    </row>
    <row r="68" spans="3:20" ht="15.95" customHeight="1">
      <c r="C68" s="218" t="s">
        <v>108</v>
      </c>
      <c r="D68" s="218"/>
      <c r="E68" s="218"/>
      <c r="F68" s="218"/>
      <c r="G68" s="218"/>
      <c r="H68" s="218"/>
      <c r="I68" s="218"/>
      <c r="J68" s="218"/>
      <c r="K68" s="218"/>
      <c r="L68" s="218"/>
      <c r="M68" s="218"/>
      <c r="N68" s="218"/>
      <c r="O68" s="218"/>
      <c r="R68" s="49" t="s">
        <v>241</v>
      </c>
      <c r="S68" s="215"/>
      <c r="T68" s="49" t="s">
        <v>42</v>
      </c>
    </row>
    <row r="69" spans="3:20" ht="15.95" customHeight="1">
      <c r="C69" s="218" t="s">
        <v>109</v>
      </c>
      <c r="D69" s="218"/>
      <c r="E69" s="218"/>
      <c r="F69" s="218"/>
      <c r="G69" s="218"/>
      <c r="H69" s="218"/>
      <c r="I69" s="218"/>
      <c r="J69" s="218"/>
      <c r="K69" s="218"/>
      <c r="L69" s="218"/>
      <c r="M69" s="218"/>
      <c r="N69" s="218"/>
      <c r="O69" s="218"/>
      <c r="R69" s="49" t="s">
        <v>242</v>
      </c>
      <c r="S69" s="216"/>
      <c r="T69" s="49" t="s">
        <v>42</v>
      </c>
    </row>
    <row r="70" spans="3:20" ht="15.95" customHeight="1">
      <c r="C70" s="218" t="s">
        <v>110</v>
      </c>
      <c r="D70" s="218"/>
      <c r="E70" s="218"/>
      <c r="F70" s="218"/>
      <c r="G70" s="218"/>
      <c r="H70" s="218"/>
      <c r="I70" s="218"/>
      <c r="J70" s="218"/>
      <c r="K70" s="218"/>
      <c r="L70" s="218"/>
      <c r="M70" s="218"/>
      <c r="N70" s="218"/>
      <c r="O70" s="218"/>
      <c r="R70" s="49" t="s">
        <v>243</v>
      </c>
      <c r="S70" s="215"/>
      <c r="T70" s="49" t="s">
        <v>42</v>
      </c>
    </row>
    <row r="71" spans="3:20" ht="15.75">
      <c r="C71" s="42"/>
      <c r="D71"/>
      <c r="E71"/>
      <c r="F71"/>
      <c r="G71"/>
      <c r="H71"/>
      <c r="I71"/>
      <c r="J71"/>
      <c r="S71" s="217"/>
    </row>
    <row r="72" spans="3:20" ht="15.75">
      <c r="C72" s="42"/>
      <c r="D72"/>
      <c r="E72"/>
      <c r="F72"/>
      <c r="G72"/>
      <c r="H72"/>
      <c r="I72"/>
      <c r="J72"/>
      <c r="S72" s="217"/>
    </row>
    <row r="73" spans="3:20" ht="15.75">
      <c r="C73" s="251" t="s">
        <v>185</v>
      </c>
      <c r="D73" s="251"/>
      <c r="E73" s="251"/>
      <c r="F73" s="251"/>
      <c r="G73" s="251"/>
      <c r="H73" s="251"/>
      <c r="I73" s="251"/>
      <c r="J73" s="251"/>
      <c r="K73" s="251"/>
      <c r="L73" s="251"/>
      <c r="M73" s="251"/>
      <c r="N73" s="251"/>
      <c r="O73" s="251"/>
      <c r="S73" s="217"/>
    </row>
    <row r="74" spans="3:20" ht="15.75">
      <c r="C74" s="44"/>
      <c r="D74"/>
      <c r="E74"/>
      <c r="F74"/>
      <c r="G74"/>
      <c r="H74"/>
      <c r="I74"/>
      <c r="J74"/>
      <c r="S74" s="217"/>
    </row>
    <row r="75" spans="3:20" ht="15.95" customHeight="1">
      <c r="C75" s="218" t="s">
        <v>111</v>
      </c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R75" s="49" t="s">
        <v>244</v>
      </c>
      <c r="S75" s="216"/>
      <c r="T75" s="49" t="s">
        <v>42</v>
      </c>
    </row>
    <row r="76" spans="3:20" ht="15.95" customHeight="1">
      <c r="C76" s="218" t="s">
        <v>112</v>
      </c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R76" s="49" t="s">
        <v>245</v>
      </c>
      <c r="S76" s="215"/>
      <c r="T76" s="49" t="s">
        <v>42</v>
      </c>
    </row>
    <row r="77" spans="3:20" ht="15.95" customHeight="1">
      <c r="C77" s="218" t="s">
        <v>365</v>
      </c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R77" s="49" t="s">
        <v>246</v>
      </c>
      <c r="S77" s="216"/>
      <c r="T77" s="49" t="s">
        <v>42</v>
      </c>
    </row>
    <row r="78" spans="3:20" ht="15.95" customHeight="1">
      <c r="C78" s="218" t="s">
        <v>113</v>
      </c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 s="218"/>
      <c r="O78" s="218"/>
      <c r="R78" s="49" t="s">
        <v>247</v>
      </c>
      <c r="S78" s="215"/>
      <c r="T78" s="49" t="s">
        <v>42</v>
      </c>
    </row>
    <row r="79" spans="3:20" ht="15.95" customHeight="1">
      <c r="C79" s="218" t="s">
        <v>114</v>
      </c>
      <c r="D79" s="218"/>
      <c r="E79" s="218"/>
      <c r="F79" s="218"/>
      <c r="G79" s="218"/>
      <c r="H79" s="218"/>
      <c r="I79" s="218"/>
      <c r="J79" s="218"/>
      <c r="K79" s="218"/>
      <c r="L79" s="218"/>
      <c r="M79" s="218"/>
      <c r="N79" s="218"/>
      <c r="O79" s="218"/>
      <c r="R79" s="49" t="s">
        <v>248</v>
      </c>
      <c r="S79" s="216"/>
      <c r="T79" s="49" t="s">
        <v>42</v>
      </c>
    </row>
    <row r="80" spans="3:20" ht="15.95" customHeight="1">
      <c r="C80" s="218" t="s">
        <v>115</v>
      </c>
      <c r="D80" s="218"/>
      <c r="E80" s="218"/>
      <c r="F80" s="218"/>
      <c r="G80" s="218"/>
      <c r="H80" s="218"/>
      <c r="I80" s="218"/>
      <c r="J80" s="218"/>
      <c r="K80" s="218"/>
      <c r="L80" s="218"/>
      <c r="M80" s="218"/>
      <c r="N80" s="218"/>
      <c r="O80" s="218"/>
      <c r="R80" s="49" t="s">
        <v>249</v>
      </c>
      <c r="S80" s="215"/>
      <c r="T80" s="49" t="s">
        <v>42</v>
      </c>
    </row>
    <row r="81" spans="3:20" ht="15.75">
      <c r="C81" s="42"/>
      <c r="D81"/>
      <c r="E81"/>
      <c r="F81"/>
      <c r="G81"/>
      <c r="H81"/>
      <c r="I81"/>
      <c r="J81"/>
      <c r="S81" s="217"/>
    </row>
    <row r="82" spans="3:20" ht="15.95" customHeight="1">
      <c r="C82" s="219" t="s">
        <v>184</v>
      </c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S82" s="217"/>
    </row>
    <row r="83" spans="3:20" ht="15.75">
      <c r="C83" s="42"/>
      <c r="D83"/>
      <c r="E83"/>
      <c r="F83"/>
      <c r="G83"/>
      <c r="H83"/>
      <c r="I83"/>
      <c r="J83"/>
      <c r="S83" s="217"/>
    </row>
    <row r="84" spans="3:20" ht="15.95" customHeight="1">
      <c r="C84" s="218" t="s">
        <v>116</v>
      </c>
      <c r="D84" s="218"/>
      <c r="E84" s="218"/>
      <c r="F84" s="218"/>
      <c r="G84" s="218"/>
      <c r="H84" s="218"/>
      <c r="I84" s="218"/>
      <c r="J84" s="218"/>
      <c r="K84" s="218"/>
      <c r="L84" s="218"/>
      <c r="M84" s="218"/>
      <c r="N84" s="218"/>
      <c r="O84" s="218"/>
      <c r="R84" s="49" t="s">
        <v>250</v>
      </c>
      <c r="S84" s="216"/>
      <c r="T84" s="49" t="s">
        <v>42</v>
      </c>
    </row>
    <row r="85" spans="3:20" ht="15.95" customHeight="1">
      <c r="C85" s="218" t="s">
        <v>117</v>
      </c>
      <c r="D85" s="218"/>
      <c r="E85" s="218"/>
      <c r="F85" s="218"/>
      <c r="G85" s="218"/>
      <c r="H85" s="218"/>
      <c r="I85" s="218"/>
      <c r="J85" s="218"/>
      <c r="K85" s="218"/>
      <c r="L85" s="218"/>
      <c r="M85" s="218"/>
      <c r="N85" s="218"/>
      <c r="O85" s="218"/>
      <c r="R85" s="49" t="s">
        <v>251</v>
      </c>
      <c r="S85" s="215"/>
      <c r="T85" s="49" t="s">
        <v>42</v>
      </c>
    </row>
    <row r="86" spans="3:20" ht="15.95" customHeight="1">
      <c r="C86" s="218" t="s">
        <v>118</v>
      </c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218"/>
      <c r="O86" s="218"/>
      <c r="R86" s="49" t="s">
        <v>252</v>
      </c>
      <c r="S86" s="216"/>
      <c r="T86" s="49" t="s">
        <v>42</v>
      </c>
    </row>
    <row r="87" spans="3:20" ht="15.95" customHeight="1">
      <c r="C87" s="218" t="s">
        <v>119</v>
      </c>
      <c r="D87" s="218"/>
      <c r="E87" s="218"/>
      <c r="F87" s="218"/>
      <c r="G87" s="218"/>
      <c r="H87" s="218"/>
      <c r="I87" s="218"/>
      <c r="J87" s="218"/>
      <c r="K87" s="218"/>
      <c r="L87" s="218"/>
      <c r="M87" s="218"/>
      <c r="N87" s="218"/>
      <c r="O87" s="218"/>
      <c r="R87" s="49" t="s">
        <v>253</v>
      </c>
      <c r="S87" s="215"/>
      <c r="T87" s="49" t="s">
        <v>42</v>
      </c>
    </row>
    <row r="88" spans="3:20" ht="15.95" customHeight="1">
      <c r="C88" s="218" t="s">
        <v>120</v>
      </c>
      <c r="D88" s="218"/>
      <c r="E88" s="218"/>
      <c r="F88" s="218"/>
      <c r="G88" s="218"/>
      <c r="H88" s="218"/>
      <c r="I88" s="218"/>
      <c r="J88" s="218"/>
      <c r="K88" s="218"/>
      <c r="L88" s="218"/>
      <c r="M88" s="218"/>
      <c r="N88" s="218"/>
      <c r="O88" s="218"/>
      <c r="R88" s="49" t="s">
        <v>254</v>
      </c>
      <c r="S88" s="216"/>
      <c r="T88" s="49" t="s">
        <v>42</v>
      </c>
    </row>
    <row r="89" spans="3:20" ht="15.95" customHeight="1">
      <c r="C89" s="218" t="s">
        <v>121</v>
      </c>
      <c r="D89" s="218"/>
      <c r="E89" s="218"/>
      <c r="F89" s="218"/>
      <c r="G89" s="218"/>
      <c r="H89" s="218"/>
      <c r="I89" s="218"/>
      <c r="J89" s="218"/>
      <c r="K89" s="218"/>
      <c r="L89" s="218"/>
      <c r="M89" s="218"/>
      <c r="N89" s="218"/>
      <c r="O89" s="218"/>
      <c r="R89" s="49" t="s">
        <v>255</v>
      </c>
      <c r="S89" s="215"/>
      <c r="T89" s="49" t="s">
        <v>42</v>
      </c>
    </row>
    <row r="90" spans="3:20" ht="15.95" customHeight="1">
      <c r="C90" s="218" t="s">
        <v>122</v>
      </c>
      <c r="D90" s="218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  <c r="R90" s="49" t="s">
        <v>256</v>
      </c>
      <c r="S90" s="216"/>
      <c r="T90" s="49" t="s">
        <v>42</v>
      </c>
    </row>
    <row r="91" spans="3:20" ht="15.75">
      <c r="C91" s="45" t="s">
        <v>123</v>
      </c>
      <c r="D91"/>
      <c r="E91"/>
      <c r="F91"/>
      <c r="G91"/>
      <c r="H91"/>
      <c r="I91"/>
      <c r="J91"/>
      <c r="S91" s="217"/>
    </row>
    <row r="92" spans="3:20" ht="15.75">
      <c r="C92" s="42"/>
      <c r="D92"/>
      <c r="E92"/>
      <c r="F92"/>
      <c r="G92"/>
      <c r="H92"/>
      <c r="I92"/>
      <c r="J92"/>
      <c r="S92" s="217"/>
    </row>
    <row r="93" spans="3:20" ht="15.95" customHeight="1">
      <c r="C93" s="219" t="s">
        <v>183</v>
      </c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S93" s="217"/>
    </row>
    <row r="94" spans="3:20" ht="15.75">
      <c r="C94" s="46"/>
      <c r="D94"/>
      <c r="E94"/>
      <c r="F94"/>
      <c r="G94"/>
      <c r="H94"/>
      <c r="I94"/>
      <c r="J94"/>
      <c r="S94" s="217"/>
    </row>
    <row r="95" spans="3:20" ht="15.95" customHeight="1">
      <c r="C95" s="218" t="s">
        <v>124</v>
      </c>
      <c r="D95" s="218"/>
      <c r="E95" s="218"/>
      <c r="F95" s="218"/>
      <c r="G95" s="218"/>
      <c r="H95" s="218"/>
      <c r="I95" s="218"/>
      <c r="J95" s="218"/>
      <c r="K95" s="218"/>
      <c r="L95" s="218"/>
      <c r="M95" s="218"/>
      <c r="N95" s="218"/>
      <c r="O95" s="218"/>
      <c r="R95" s="23" t="s">
        <v>257</v>
      </c>
      <c r="S95" s="215"/>
      <c r="T95" s="49" t="s">
        <v>42</v>
      </c>
    </row>
    <row r="96" spans="3:20" ht="15.95" customHeight="1">
      <c r="C96" s="218" t="s">
        <v>125</v>
      </c>
      <c r="D96" s="218"/>
      <c r="E96" s="218"/>
      <c r="F96" s="218"/>
      <c r="G96" s="218"/>
      <c r="H96" s="218"/>
      <c r="I96" s="218"/>
      <c r="J96" s="218"/>
      <c r="K96" s="218"/>
      <c r="L96" s="218"/>
      <c r="M96" s="218"/>
      <c r="N96" s="218"/>
      <c r="O96" s="218"/>
      <c r="R96" s="23" t="s">
        <v>258</v>
      </c>
      <c r="S96" s="216"/>
      <c r="T96" s="49" t="s">
        <v>42</v>
      </c>
    </row>
    <row r="97" spans="3:27" ht="15.95" customHeight="1">
      <c r="C97" s="218" t="s">
        <v>126</v>
      </c>
      <c r="D97" s="218"/>
      <c r="E97" s="218"/>
      <c r="F97" s="218"/>
      <c r="G97" s="218"/>
      <c r="H97" s="218"/>
      <c r="I97" s="218"/>
      <c r="J97" s="218"/>
      <c r="K97" s="218"/>
      <c r="L97" s="218"/>
      <c r="M97" s="218"/>
      <c r="N97" s="218"/>
      <c r="O97" s="218"/>
      <c r="R97" s="23" t="s">
        <v>259</v>
      </c>
      <c r="S97" s="215"/>
      <c r="T97" s="49" t="s">
        <v>42</v>
      </c>
    </row>
    <row r="98" spans="3:27" ht="15.75">
      <c r="C98" s="42"/>
      <c r="D98"/>
      <c r="E98"/>
      <c r="F98"/>
      <c r="G98"/>
      <c r="H98" s="43"/>
      <c r="I98" s="42"/>
      <c r="J98"/>
    </row>
    <row r="99" spans="3:27" ht="15.75">
      <c r="C99" s="47"/>
      <c r="D99"/>
      <c r="E99"/>
      <c r="F99"/>
      <c r="G99"/>
      <c r="H99"/>
      <c r="I99"/>
      <c r="J99"/>
    </row>
    <row r="100" spans="3:27" ht="15.75">
      <c r="C100" s="254" t="s">
        <v>182</v>
      </c>
      <c r="D100" s="254"/>
      <c r="E100" s="254"/>
      <c r="F100" s="254"/>
      <c r="G100" s="254"/>
      <c r="H100" s="254"/>
      <c r="I100" s="254"/>
      <c r="J100" s="254"/>
      <c r="K100" s="254"/>
      <c r="L100" s="254"/>
      <c r="M100" s="254"/>
      <c r="N100" s="254"/>
      <c r="O100" s="254"/>
      <c r="P100" s="254"/>
      <c r="Q100" s="254"/>
      <c r="R100" s="254"/>
      <c r="S100" s="254"/>
      <c r="T100" s="254"/>
      <c r="U100" s="254"/>
      <c r="V100" s="254"/>
      <c r="W100" s="254"/>
      <c r="X100" s="254"/>
      <c r="Y100" s="254"/>
      <c r="Z100" s="254"/>
      <c r="AA100" s="254"/>
    </row>
    <row r="101" spans="3:27" ht="15.75">
      <c r="C101" s="44"/>
      <c r="D101"/>
      <c r="E101"/>
      <c r="F101"/>
      <c r="G101"/>
      <c r="H101"/>
      <c r="I101"/>
      <c r="J101"/>
    </row>
    <row r="102" spans="3:27" ht="15.95" customHeight="1">
      <c r="C102" s="218" t="s">
        <v>127</v>
      </c>
      <c r="D102" s="218"/>
      <c r="E102" s="218"/>
      <c r="F102" s="218"/>
      <c r="G102" s="218"/>
      <c r="H102" s="218"/>
      <c r="I102" s="218"/>
      <c r="J102" s="218"/>
      <c r="K102" s="218"/>
      <c r="L102" s="218"/>
      <c r="M102" s="218"/>
      <c r="N102" s="218"/>
      <c r="O102" s="218"/>
      <c r="R102" s="23" t="s">
        <v>260</v>
      </c>
      <c r="S102" s="216"/>
      <c r="T102" s="49" t="s">
        <v>42</v>
      </c>
    </row>
    <row r="103" spans="3:27" ht="15.95" customHeight="1">
      <c r="C103" s="218" t="s">
        <v>128</v>
      </c>
      <c r="D103" s="218"/>
      <c r="E103" s="218"/>
      <c r="F103" s="218"/>
      <c r="G103" s="218"/>
      <c r="H103" s="218"/>
      <c r="I103" s="218"/>
      <c r="J103" s="218"/>
      <c r="K103" s="218"/>
      <c r="L103" s="218"/>
      <c r="M103" s="218"/>
      <c r="N103" s="218"/>
      <c r="O103" s="218"/>
      <c r="R103" s="23" t="s">
        <v>261</v>
      </c>
      <c r="S103" s="215"/>
      <c r="T103" s="49" t="s">
        <v>42</v>
      </c>
    </row>
    <row r="104" spans="3:27" ht="15.95" customHeight="1">
      <c r="C104" s="218" t="s">
        <v>129</v>
      </c>
      <c r="D104" s="218"/>
      <c r="E104" s="218"/>
      <c r="F104" s="218"/>
      <c r="G104" s="218"/>
      <c r="H104" s="218"/>
      <c r="I104" s="218"/>
      <c r="J104" s="218"/>
      <c r="K104" s="218"/>
      <c r="L104" s="218"/>
      <c r="M104" s="218"/>
      <c r="N104" s="218"/>
      <c r="O104" s="218"/>
      <c r="R104" s="23" t="s">
        <v>262</v>
      </c>
      <c r="S104" s="216"/>
      <c r="T104" s="49" t="s">
        <v>42</v>
      </c>
    </row>
    <row r="105" spans="3:27" ht="15.75">
      <c r="C105" s="42"/>
      <c r="D105"/>
      <c r="E105"/>
      <c r="F105"/>
      <c r="G105"/>
      <c r="H105"/>
      <c r="I105"/>
      <c r="J105"/>
      <c r="S105" s="217"/>
    </row>
    <row r="106" spans="3:27" ht="15.75">
      <c r="C106" s="42"/>
      <c r="D106"/>
      <c r="E106"/>
      <c r="F106"/>
      <c r="G106"/>
      <c r="H106"/>
      <c r="I106"/>
      <c r="J106"/>
      <c r="S106" s="217"/>
    </row>
    <row r="107" spans="3:27" ht="15.75">
      <c r="C107" s="251" t="s">
        <v>192</v>
      </c>
      <c r="D107" s="251"/>
      <c r="E107" s="251"/>
      <c r="F107" s="251"/>
      <c r="G107" s="251"/>
      <c r="H107" s="251"/>
      <c r="I107" s="251"/>
      <c r="J107" s="251"/>
      <c r="K107" s="251"/>
      <c r="L107" s="251"/>
      <c r="M107" s="251"/>
      <c r="N107" s="251"/>
      <c r="O107" s="251"/>
      <c r="S107" s="217"/>
    </row>
    <row r="108" spans="3:27" ht="15.75">
      <c r="C108" s="44"/>
      <c r="D108"/>
      <c r="E108"/>
      <c r="F108"/>
      <c r="G108"/>
      <c r="H108"/>
      <c r="I108"/>
      <c r="J108"/>
      <c r="S108" s="217"/>
    </row>
    <row r="109" spans="3:27" ht="15.95" customHeight="1">
      <c r="C109" s="218" t="s">
        <v>130</v>
      </c>
      <c r="D109" s="218"/>
      <c r="E109" s="218"/>
      <c r="F109" s="218"/>
      <c r="G109" s="218"/>
      <c r="H109" s="218"/>
      <c r="I109" s="218"/>
      <c r="J109" s="218"/>
      <c r="K109" s="218"/>
      <c r="L109" s="218"/>
      <c r="M109" s="218"/>
      <c r="N109" s="218"/>
      <c r="O109" s="218"/>
      <c r="R109" s="23" t="s">
        <v>263</v>
      </c>
      <c r="S109" s="215"/>
      <c r="T109" s="49" t="s">
        <v>42</v>
      </c>
    </row>
    <row r="110" spans="3:27" ht="15.95" customHeight="1">
      <c r="C110" s="218" t="s">
        <v>131</v>
      </c>
      <c r="D110" s="218"/>
      <c r="E110" s="218"/>
      <c r="F110" s="218"/>
      <c r="G110" s="218"/>
      <c r="H110" s="218"/>
      <c r="I110" s="218"/>
      <c r="J110" s="218"/>
      <c r="K110" s="218"/>
      <c r="L110" s="218"/>
      <c r="M110" s="218"/>
      <c r="N110" s="218"/>
      <c r="O110" s="218"/>
      <c r="R110" s="23" t="s">
        <v>264</v>
      </c>
      <c r="S110" s="216"/>
      <c r="T110" s="49" t="s">
        <v>42</v>
      </c>
    </row>
    <row r="111" spans="3:27" ht="15.75">
      <c r="C111" s="42"/>
      <c r="D111"/>
      <c r="E111"/>
      <c r="F111"/>
      <c r="G111"/>
      <c r="H111"/>
      <c r="I111"/>
      <c r="J111"/>
      <c r="S111" s="217"/>
    </row>
    <row r="112" spans="3:27" ht="15.95" customHeight="1">
      <c r="C112" s="219" t="s">
        <v>193</v>
      </c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S112" s="217"/>
    </row>
    <row r="113" spans="3:20" ht="15.75">
      <c r="C113" s="42"/>
      <c r="D113"/>
      <c r="E113"/>
      <c r="F113"/>
      <c r="G113"/>
      <c r="H113"/>
      <c r="I113"/>
      <c r="J113"/>
      <c r="S113" s="217"/>
    </row>
    <row r="114" spans="3:20" ht="15.95" customHeight="1">
      <c r="C114" s="218" t="s">
        <v>132</v>
      </c>
      <c r="D114" s="218"/>
      <c r="E114" s="218"/>
      <c r="F114" s="218"/>
      <c r="G114" s="218"/>
      <c r="H114" s="218"/>
      <c r="I114" s="218"/>
      <c r="J114" s="218"/>
      <c r="K114" s="218"/>
      <c r="L114" s="218"/>
      <c r="M114" s="218"/>
      <c r="N114" s="218"/>
      <c r="O114" s="218"/>
      <c r="R114" s="23" t="s">
        <v>265</v>
      </c>
      <c r="S114" s="215"/>
      <c r="T114" s="49" t="s">
        <v>42</v>
      </c>
    </row>
    <row r="115" spans="3:20" ht="15.95" customHeight="1">
      <c r="C115" s="218" t="s">
        <v>133</v>
      </c>
      <c r="D115" s="218"/>
      <c r="E115" s="218"/>
      <c r="F115" s="218"/>
      <c r="G115" s="218"/>
      <c r="H115" s="218"/>
      <c r="I115" s="218"/>
      <c r="J115" s="218"/>
      <c r="K115" s="218"/>
      <c r="L115" s="218"/>
      <c r="M115" s="218"/>
      <c r="N115" s="218"/>
      <c r="O115" s="218"/>
      <c r="R115" s="23" t="s">
        <v>266</v>
      </c>
      <c r="S115" s="216"/>
      <c r="T115" s="49" t="s">
        <v>42</v>
      </c>
    </row>
    <row r="116" spans="3:20" ht="15.95" customHeight="1">
      <c r="C116" s="218" t="s">
        <v>134</v>
      </c>
      <c r="D116" s="218"/>
      <c r="E116" s="218"/>
      <c r="F116" s="218"/>
      <c r="G116" s="218"/>
      <c r="H116" s="218"/>
      <c r="I116" s="218"/>
      <c r="J116" s="218"/>
      <c r="K116" s="218"/>
      <c r="L116" s="218"/>
      <c r="M116" s="218"/>
      <c r="N116" s="218"/>
      <c r="O116" s="218"/>
      <c r="R116" s="23" t="s">
        <v>267</v>
      </c>
      <c r="S116" s="215"/>
      <c r="T116" s="49" t="s">
        <v>42</v>
      </c>
    </row>
    <row r="117" spans="3:20" ht="15.95" customHeight="1">
      <c r="C117" s="218" t="s">
        <v>135</v>
      </c>
      <c r="D117" s="218"/>
      <c r="E117" s="218"/>
      <c r="F117" s="218"/>
      <c r="G117" s="218"/>
      <c r="H117" s="218"/>
      <c r="I117" s="218"/>
      <c r="J117" s="218"/>
      <c r="K117" s="218"/>
      <c r="L117" s="218"/>
      <c r="M117" s="218"/>
      <c r="N117" s="218"/>
      <c r="O117" s="218"/>
      <c r="R117" s="23" t="s">
        <v>268</v>
      </c>
      <c r="S117" s="216"/>
      <c r="T117" s="49" t="s">
        <v>42</v>
      </c>
    </row>
    <row r="118" spans="3:20" ht="15.95" customHeight="1">
      <c r="C118" s="218" t="s">
        <v>136</v>
      </c>
      <c r="D118" s="218"/>
      <c r="E118" s="218"/>
      <c r="F118" s="218"/>
      <c r="G118" s="218"/>
      <c r="H118" s="218"/>
      <c r="I118" s="218"/>
      <c r="J118" s="218"/>
      <c r="K118" s="218"/>
      <c r="L118" s="218"/>
      <c r="M118" s="218"/>
      <c r="N118" s="218"/>
      <c r="O118" s="218"/>
      <c r="R118" s="23" t="s">
        <v>269</v>
      </c>
      <c r="S118" s="215"/>
      <c r="T118" s="49" t="s">
        <v>42</v>
      </c>
    </row>
    <row r="119" spans="3:20" ht="15.95" customHeight="1">
      <c r="C119" s="218" t="s">
        <v>137</v>
      </c>
      <c r="D119" s="218"/>
      <c r="E119" s="218"/>
      <c r="F119" s="218"/>
      <c r="G119" s="218"/>
      <c r="H119" s="218"/>
      <c r="I119" s="218"/>
      <c r="J119" s="218"/>
      <c r="K119" s="218"/>
      <c r="L119" s="218"/>
      <c r="M119" s="218"/>
      <c r="N119" s="218"/>
      <c r="O119" s="218"/>
      <c r="R119" s="23" t="s">
        <v>270</v>
      </c>
      <c r="S119" s="216"/>
      <c r="T119" s="49" t="s">
        <v>42</v>
      </c>
    </row>
    <row r="120" spans="3:20" ht="15.95" customHeight="1">
      <c r="C120" s="218" t="s">
        <v>138</v>
      </c>
      <c r="D120" s="218"/>
      <c r="E120" s="218"/>
      <c r="F120" s="218"/>
      <c r="G120" s="218"/>
      <c r="H120" s="218"/>
      <c r="I120" s="218"/>
      <c r="J120" s="218"/>
      <c r="K120" s="218"/>
      <c r="L120" s="218"/>
      <c r="M120" s="218"/>
      <c r="N120" s="218"/>
      <c r="O120" s="218"/>
      <c r="R120" s="23" t="s">
        <v>271</v>
      </c>
      <c r="S120" s="215"/>
      <c r="T120" s="49" t="s">
        <v>42</v>
      </c>
    </row>
    <row r="121" spans="3:20" ht="15.75">
      <c r="C121" s="42"/>
      <c r="D121"/>
      <c r="E121"/>
      <c r="F121"/>
      <c r="G121"/>
      <c r="H121" s="43"/>
      <c r="I121" s="42"/>
      <c r="J121"/>
      <c r="S121" s="217"/>
    </row>
    <row r="122" spans="3:20" ht="15.75">
      <c r="C122" s="42"/>
      <c r="D122"/>
      <c r="E122"/>
      <c r="F122"/>
      <c r="G122"/>
      <c r="H122" s="43"/>
      <c r="I122" s="42"/>
      <c r="J122"/>
      <c r="S122" s="217"/>
    </row>
    <row r="123" spans="3:20" ht="15.75">
      <c r="C123" s="251" t="s">
        <v>194</v>
      </c>
      <c r="D123" s="251"/>
      <c r="E123" s="251"/>
      <c r="F123" s="251"/>
      <c r="G123" s="251"/>
      <c r="H123" s="251"/>
      <c r="I123" s="251"/>
      <c r="J123" s="251"/>
      <c r="K123" s="251"/>
      <c r="L123" s="251"/>
      <c r="M123" s="251"/>
      <c r="N123" s="251"/>
      <c r="O123" s="251"/>
      <c r="S123" s="217"/>
    </row>
    <row r="124" spans="3:20" ht="15.75">
      <c r="C124" s="44"/>
      <c r="D124"/>
      <c r="E124"/>
      <c r="F124"/>
      <c r="G124"/>
      <c r="H124"/>
      <c r="I124"/>
      <c r="J124"/>
      <c r="S124" s="217"/>
    </row>
    <row r="125" spans="3:20" ht="15.95" customHeight="1">
      <c r="C125" s="218" t="s">
        <v>139</v>
      </c>
      <c r="D125" s="218"/>
      <c r="E125" s="218"/>
      <c r="F125" s="218"/>
      <c r="G125" s="218"/>
      <c r="H125" s="218"/>
      <c r="I125" s="218"/>
      <c r="J125" s="218"/>
      <c r="K125" s="218"/>
      <c r="L125" s="218"/>
      <c r="M125" s="218"/>
      <c r="N125" s="218"/>
      <c r="O125" s="218"/>
      <c r="R125" s="23" t="s">
        <v>272</v>
      </c>
      <c r="S125" s="216"/>
      <c r="T125" s="49" t="s">
        <v>42</v>
      </c>
    </row>
    <row r="126" spans="3:20" ht="15.95" customHeight="1">
      <c r="C126" s="218" t="s">
        <v>140</v>
      </c>
      <c r="D126" s="218"/>
      <c r="E126" s="218"/>
      <c r="F126" s="218"/>
      <c r="G126" s="218"/>
      <c r="H126" s="218"/>
      <c r="I126" s="218"/>
      <c r="J126" s="218"/>
      <c r="K126" s="218"/>
      <c r="L126" s="218"/>
      <c r="M126" s="218"/>
      <c r="N126" s="218"/>
      <c r="O126" s="218"/>
      <c r="R126" s="23" t="s">
        <v>273</v>
      </c>
      <c r="S126" s="215"/>
      <c r="T126" s="49" t="s">
        <v>42</v>
      </c>
    </row>
    <row r="127" spans="3:20" ht="15.95" customHeight="1">
      <c r="C127" s="218" t="s">
        <v>164</v>
      </c>
      <c r="D127" s="218"/>
      <c r="E127" s="218"/>
      <c r="F127" s="218"/>
      <c r="G127" s="218"/>
      <c r="H127" s="218"/>
      <c r="I127" s="218"/>
      <c r="J127" s="218"/>
      <c r="K127" s="218"/>
      <c r="L127" s="218"/>
      <c r="M127" s="218"/>
      <c r="N127" s="218"/>
      <c r="O127" s="218"/>
      <c r="R127" s="23" t="s">
        <v>274</v>
      </c>
      <c r="S127" s="216"/>
      <c r="T127" s="49" t="s">
        <v>42</v>
      </c>
    </row>
    <row r="128" spans="3:20" ht="15.75">
      <c r="C128" s="42"/>
      <c r="D128"/>
      <c r="E128"/>
      <c r="F128"/>
      <c r="G128"/>
      <c r="H128"/>
      <c r="I128"/>
      <c r="J128"/>
      <c r="S128" s="217"/>
    </row>
    <row r="129" spans="3:20" ht="15.95" customHeight="1">
      <c r="C129" s="219" t="s">
        <v>196</v>
      </c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S129" s="217"/>
    </row>
    <row r="130" spans="3:20" ht="15.75">
      <c r="C130" s="42"/>
      <c r="D130"/>
      <c r="E130"/>
      <c r="F130"/>
      <c r="G130"/>
      <c r="H130"/>
      <c r="I130"/>
      <c r="J130"/>
      <c r="S130" s="217"/>
    </row>
    <row r="131" spans="3:20" ht="15.95" customHeight="1">
      <c r="C131" s="218" t="s">
        <v>141</v>
      </c>
      <c r="D131" s="218"/>
      <c r="E131" s="218"/>
      <c r="F131" s="218"/>
      <c r="G131" s="218"/>
      <c r="H131" s="218"/>
      <c r="I131" s="218"/>
      <c r="J131" s="218"/>
      <c r="K131" s="218"/>
      <c r="L131" s="218"/>
      <c r="M131" s="218"/>
      <c r="N131" s="218"/>
      <c r="O131" s="218"/>
      <c r="R131" s="23" t="s">
        <v>275</v>
      </c>
      <c r="S131" s="215"/>
      <c r="T131" s="49" t="s">
        <v>42</v>
      </c>
    </row>
    <row r="132" spans="3:20" ht="15.95" customHeight="1">
      <c r="C132" s="218" t="s">
        <v>142</v>
      </c>
      <c r="D132" s="218"/>
      <c r="E132" s="218"/>
      <c r="F132" s="218"/>
      <c r="G132" s="218"/>
      <c r="H132" s="218"/>
      <c r="I132" s="218"/>
      <c r="J132" s="218"/>
      <c r="K132" s="218"/>
      <c r="L132" s="218"/>
      <c r="M132" s="218"/>
      <c r="N132" s="218"/>
      <c r="O132" s="218"/>
      <c r="R132" s="23" t="s">
        <v>276</v>
      </c>
      <c r="S132" s="216"/>
      <c r="T132" s="49" t="s">
        <v>42</v>
      </c>
    </row>
    <row r="133" spans="3:20" ht="15.95" customHeight="1">
      <c r="C133" s="218" t="s">
        <v>143</v>
      </c>
      <c r="D133" s="218"/>
      <c r="E133" s="218"/>
      <c r="F133" s="218"/>
      <c r="G133" s="218"/>
      <c r="H133" s="218"/>
      <c r="I133" s="218"/>
      <c r="J133" s="218"/>
      <c r="K133" s="218"/>
      <c r="L133" s="218"/>
      <c r="M133" s="218"/>
      <c r="N133" s="218"/>
      <c r="O133" s="218"/>
      <c r="R133" s="23" t="s">
        <v>277</v>
      </c>
      <c r="S133" s="215"/>
      <c r="T133" s="49" t="s">
        <v>42</v>
      </c>
    </row>
    <row r="134" spans="3:20" ht="15.95" customHeight="1">
      <c r="C134" s="218" t="s">
        <v>144</v>
      </c>
      <c r="D134" s="218"/>
      <c r="E134" s="218"/>
      <c r="F134" s="218"/>
      <c r="G134" s="218"/>
      <c r="H134" s="218"/>
      <c r="I134" s="218"/>
      <c r="J134" s="218"/>
      <c r="K134" s="218"/>
      <c r="L134" s="218"/>
      <c r="M134" s="218"/>
      <c r="N134" s="218"/>
      <c r="O134" s="218"/>
      <c r="R134" s="23" t="s">
        <v>278</v>
      </c>
      <c r="S134" s="216"/>
      <c r="T134" s="49" t="s">
        <v>42</v>
      </c>
    </row>
    <row r="135" spans="3:20" ht="15.95" customHeight="1">
      <c r="C135" s="218" t="s">
        <v>145</v>
      </c>
      <c r="D135" s="218"/>
      <c r="E135" s="218"/>
      <c r="F135" s="218"/>
      <c r="G135" s="218"/>
      <c r="H135" s="218"/>
      <c r="I135" s="218"/>
      <c r="J135" s="218"/>
      <c r="K135" s="218"/>
      <c r="L135" s="218"/>
      <c r="M135" s="218"/>
      <c r="N135" s="218"/>
      <c r="O135" s="218"/>
      <c r="R135" s="23" t="s">
        <v>279</v>
      </c>
      <c r="S135" s="215"/>
      <c r="T135" s="49" t="s">
        <v>42</v>
      </c>
    </row>
    <row r="136" spans="3:20" ht="15.95" customHeight="1">
      <c r="C136" s="218" t="s">
        <v>146</v>
      </c>
      <c r="D136" s="218"/>
      <c r="E136" s="218"/>
      <c r="F136" s="218"/>
      <c r="G136" s="218"/>
      <c r="H136" s="218"/>
      <c r="I136" s="218"/>
      <c r="J136" s="218"/>
      <c r="K136" s="218"/>
      <c r="L136" s="218"/>
      <c r="M136" s="218"/>
      <c r="N136" s="218"/>
      <c r="O136" s="218"/>
      <c r="R136" s="23" t="s">
        <v>280</v>
      </c>
      <c r="S136" s="216"/>
      <c r="T136" s="49" t="s">
        <v>42</v>
      </c>
    </row>
    <row r="137" spans="3:20" ht="15.95" customHeight="1">
      <c r="C137" s="218" t="s">
        <v>147</v>
      </c>
      <c r="D137" s="218"/>
      <c r="E137" s="218"/>
      <c r="F137" s="218"/>
      <c r="G137" s="218"/>
      <c r="H137" s="218"/>
      <c r="I137" s="218"/>
      <c r="J137" s="218"/>
      <c r="K137" s="218"/>
      <c r="L137" s="218"/>
      <c r="M137" s="218"/>
      <c r="N137" s="218"/>
      <c r="O137" s="218"/>
      <c r="R137" s="23" t="s">
        <v>281</v>
      </c>
      <c r="S137" s="215"/>
      <c r="T137" s="49" t="s">
        <v>42</v>
      </c>
    </row>
    <row r="138" spans="3:20" ht="15.75">
      <c r="C138" s="42"/>
      <c r="D138"/>
      <c r="E138"/>
      <c r="F138"/>
      <c r="G138"/>
      <c r="H138"/>
      <c r="I138"/>
      <c r="J138"/>
      <c r="S138" s="217"/>
    </row>
    <row r="139" spans="3:20" ht="15.95" customHeight="1">
      <c r="C139" s="219" t="s">
        <v>197</v>
      </c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S139" s="217"/>
    </row>
    <row r="140" spans="3:20" ht="15.75">
      <c r="C140" s="44"/>
      <c r="D140"/>
      <c r="E140"/>
      <c r="F140"/>
      <c r="G140"/>
      <c r="H140"/>
      <c r="I140"/>
      <c r="J140"/>
      <c r="S140" s="217"/>
    </row>
    <row r="141" spans="3:20" ht="15.95" customHeight="1">
      <c r="C141" s="218" t="s">
        <v>165</v>
      </c>
      <c r="D141" s="218"/>
      <c r="E141" s="218"/>
      <c r="F141" s="218"/>
      <c r="G141" s="218"/>
      <c r="H141" s="218"/>
      <c r="I141" s="218"/>
      <c r="J141" s="218"/>
      <c r="K141" s="218"/>
      <c r="L141" s="218"/>
      <c r="M141" s="218"/>
      <c r="N141" s="218"/>
      <c r="O141" s="218"/>
      <c r="R141" s="23" t="s">
        <v>282</v>
      </c>
      <c r="S141" s="216"/>
      <c r="T141" s="49" t="s">
        <v>42</v>
      </c>
    </row>
    <row r="142" spans="3:20" ht="15.95" customHeight="1">
      <c r="C142" s="218" t="s">
        <v>166</v>
      </c>
      <c r="D142" s="218"/>
      <c r="E142" s="218"/>
      <c r="F142" s="218"/>
      <c r="G142" s="218"/>
      <c r="H142" s="218"/>
      <c r="I142" s="218"/>
      <c r="J142" s="218"/>
      <c r="K142" s="218"/>
      <c r="L142" s="218"/>
      <c r="M142" s="218"/>
      <c r="N142" s="218"/>
      <c r="O142" s="218"/>
      <c r="R142" s="23" t="s">
        <v>283</v>
      </c>
      <c r="S142" s="215"/>
      <c r="T142" s="49" t="s">
        <v>42</v>
      </c>
    </row>
    <row r="143" spans="3:20" ht="15.75">
      <c r="C143" s="44"/>
      <c r="D143"/>
      <c r="E143"/>
      <c r="F143"/>
      <c r="G143"/>
      <c r="H143"/>
      <c r="I143"/>
      <c r="J143"/>
      <c r="S143" s="217"/>
    </row>
    <row r="144" spans="3:20" ht="15.75">
      <c r="C144" s="44"/>
      <c r="D144"/>
      <c r="E144"/>
      <c r="F144"/>
      <c r="G144"/>
      <c r="H144"/>
      <c r="I144"/>
      <c r="J144"/>
      <c r="S144" s="217"/>
    </row>
    <row r="145" spans="3:20" ht="15.75">
      <c r="C145" s="251" t="s">
        <v>195</v>
      </c>
      <c r="D145" s="251"/>
      <c r="E145" s="251"/>
      <c r="F145" s="251"/>
      <c r="G145" s="251"/>
      <c r="H145" s="251"/>
      <c r="I145" s="251"/>
      <c r="J145" s="251"/>
      <c r="K145" s="251"/>
      <c r="L145" s="251"/>
      <c r="M145" s="251"/>
      <c r="N145" s="251"/>
      <c r="O145" s="251"/>
      <c r="S145" s="217"/>
    </row>
    <row r="146" spans="3:20" ht="15.75">
      <c r="C146" s="44"/>
      <c r="D146"/>
      <c r="E146"/>
      <c r="F146"/>
      <c r="G146"/>
      <c r="H146"/>
      <c r="I146"/>
      <c r="J146"/>
      <c r="S146" s="217"/>
    </row>
    <row r="147" spans="3:20" ht="15.95" customHeight="1">
      <c r="C147" s="218" t="s">
        <v>148</v>
      </c>
      <c r="D147" s="218"/>
      <c r="E147" s="218"/>
      <c r="F147" s="218"/>
      <c r="G147" s="218"/>
      <c r="H147" s="218"/>
      <c r="I147" s="218"/>
      <c r="J147" s="218"/>
      <c r="K147" s="218"/>
      <c r="L147" s="218"/>
      <c r="M147" s="218"/>
      <c r="N147" s="218"/>
      <c r="O147" s="218"/>
      <c r="R147" s="23" t="s">
        <v>284</v>
      </c>
      <c r="S147" s="216"/>
      <c r="T147" s="49" t="s">
        <v>42</v>
      </c>
    </row>
    <row r="148" spans="3:20" ht="15.95" customHeight="1">
      <c r="C148" s="218" t="s">
        <v>149</v>
      </c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8"/>
      <c r="R148" s="23" t="s">
        <v>285</v>
      </c>
      <c r="S148" s="215"/>
      <c r="T148" s="49" t="s">
        <v>42</v>
      </c>
    </row>
    <row r="149" spans="3:20" ht="15.95" customHeight="1">
      <c r="C149" s="218" t="s">
        <v>150</v>
      </c>
      <c r="D149" s="218"/>
      <c r="E149" s="218"/>
      <c r="F149" s="218"/>
      <c r="G149" s="218"/>
      <c r="H149" s="218"/>
      <c r="I149" s="218"/>
      <c r="J149" s="218"/>
      <c r="K149" s="218"/>
      <c r="L149" s="218"/>
      <c r="M149" s="218"/>
      <c r="N149" s="218"/>
      <c r="O149" s="218"/>
      <c r="R149" s="23" t="s">
        <v>286</v>
      </c>
      <c r="S149" s="216"/>
      <c r="T149" s="49" t="s">
        <v>42</v>
      </c>
    </row>
    <row r="150" spans="3:20" ht="15.75">
      <c r="C150" s="42"/>
      <c r="D150"/>
      <c r="E150"/>
      <c r="F150"/>
      <c r="G150"/>
      <c r="H150"/>
      <c r="I150"/>
      <c r="J150"/>
      <c r="S150" s="217"/>
    </row>
    <row r="151" spans="3:20" ht="15.95" customHeight="1">
      <c r="C151" s="219" t="s">
        <v>198</v>
      </c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S151" s="217"/>
    </row>
    <row r="152" spans="3:20" ht="15.75">
      <c r="C152" s="42"/>
      <c r="D152"/>
      <c r="E152"/>
      <c r="F152"/>
      <c r="G152"/>
      <c r="H152"/>
      <c r="I152"/>
      <c r="J152"/>
      <c r="S152" s="217"/>
    </row>
    <row r="153" spans="3:20" ht="15.95" customHeight="1">
      <c r="C153" s="218" t="s">
        <v>151</v>
      </c>
      <c r="D153" s="218"/>
      <c r="E153" s="218"/>
      <c r="F153" s="218"/>
      <c r="G153" s="218"/>
      <c r="H153" s="218"/>
      <c r="I153" s="218"/>
      <c r="J153" s="218"/>
      <c r="K153" s="218"/>
      <c r="L153" s="218"/>
      <c r="M153" s="218"/>
      <c r="N153" s="218"/>
      <c r="O153" s="218"/>
      <c r="R153" s="23" t="s">
        <v>287</v>
      </c>
      <c r="S153" s="215"/>
      <c r="T153" s="49" t="s">
        <v>42</v>
      </c>
    </row>
    <row r="154" spans="3:20" ht="15.95" customHeight="1">
      <c r="C154" s="218" t="s">
        <v>152</v>
      </c>
      <c r="D154" s="218"/>
      <c r="E154" s="218"/>
      <c r="F154" s="218"/>
      <c r="G154" s="218"/>
      <c r="H154" s="218"/>
      <c r="I154" s="218"/>
      <c r="J154" s="218"/>
      <c r="K154" s="218"/>
      <c r="L154" s="218"/>
      <c r="M154" s="218"/>
      <c r="N154" s="218"/>
      <c r="O154" s="218"/>
      <c r="R154" s="23" t="s">
        <v>288</v>
      </c>
      <c r="S154" s="216"/>
      <c r="T154" s="49" t="s">
        <v>42</v>
      </c>
    </row>
    <row r="155" spans="3:20" ht="15.95" customHeight="1">
      <c r="C155" s="218" t="s">
        <v>153</v>
      </c>
      <c r="D155" s="218"/>
      <c r="E155" s="218"/>
      <c r="F155" s="218"/>
      <c r="G155" s="218"/>
      <c r="H155" s="218"/>
      <c r="I155" s="218"/>
      <c r="J155" s="218"/>
      <c r="K155" s="218"/>
      <c r="L155" s="218"/>
      <c r="M155" s="218"/>
      <c r="N155" s="218"/>
      <c r="O155" s="218"/>
      <c r="R155" s="23" t="s">
        <v>289</v>
      </c>
      <c r="S155" s="215"/>
      <c r="T155" s="49" t="s">
        <v>42</v>
      </c>
    </row>
    <row r="156" spans="3:20" ht="15.75">
      <c r="C156" s="42"/>
      <c r="D156"/>
      <c r="E156"/>
      <c r="F156"/>
      <c r="G156"/>
      <c r="H156"/>
      <c r="I156"/>
      <c r="J156"/>
      <c r="S156" s="217"/>
    </row>
    <row r="157" spans="3:20" ht="15.95" customHeight="1">
      <c r="C157" s="252" t="s">
        <v>199</v>
      </c>
      <c r="D157" s="253"/>
      <c r="E157" s="253"/>
      <c r="F157" s="253"/>
      <c r="G157" s="253"/>
      <c r="H157" s="253"/>
      <c r="I157" s="253"/>
      <c r="J157" s="253"/>
      <c r="K157" s="253"/>
      <c r="L157" s="253"/>
      <c r="M157" s="253"/>
      <c r="N157" s="253"/>
      <c r="O157" s="253"/>
      <c r="S157" s="217"/>
    </row>
    <row r="158" spans="3:20" ht="15.75">
      <c r="C158" s="42"/>
      <c r="D158"/>
      <c r="E158"/>
      <c r="F158"/>
      <c r="G158"/>
      <c r="H158"/>
      <c r="I158"/>
      <c r="J158"/>
      <c r="S158" s="217"/>
    </row>
    <row r="159" spans="3:20" ht="15.95" customHeight="1">
      <c r="C159" s="218" t="s">
        <v>154</v>
      </c>
      <c r="D159" s="218"/>
      <c r="E159" s="218"/>
      <c r="F159" s="218"/>
      <c r="G159" s="218"/>
      <c r="H159" s="218"/>
      <c r="I159" s="218"/>
      <c r="J159" s="218"/>
      <c r="K159" s="218"/>
      <c r="L159" s="218"/>
      <c r="M159" s="218"/>
      <c r="N159" s="218"/>
      <c r="O159" s="218"/>
      <c r="R159" s="23" t="s">
        <v>290</v>
      </c>
      <c r="S159" s="216"/>
      <c r="T159" s="49" t="s">
        <v>42</v>
      </c>
    </row>
    <row r="160" spans="3:20" ht="15.95" customHeight="1">
      <c r="C160" s="218" t="s">
        <v>155</v>
      </c>
      <c r="D160" s="218"/>
      <c r="E160" s="218"/>
      <c r="F160" s="218"/>
      <c r="G160" s="218"/>
      <c r="H160" s="218"/>
      <c r="I160" s="218"/>
      <c r="J160" s="218"/>
      <c r="K160" s="218"/>
      <c r="L160" s="218"/>
      <c r="M160" s="218"/>
      <c r="N160" s="218"/>
      <c r="O160" s="218"/>
      <c r="R160" s="23" t="s">
        <v>291</v>
      </c>
      <c r="S160" s="215"/>
      <c r="T160" s="49" t="s">
        <v>42</v>
      </c>
    </row>
    <row r="161" spans="1:87" ht="15.75">
      <c r="C161" s="42"/>
      <c r="D161"/>
      <c r="E161"/>
      <c r="F161"/>
      <c r="G161"/>
      <c r="H161"/>
      <c r="I161"/>
      <c r="J161"/>
      <c r="S161" s="217"/>
    </row>
    <row r="162" spans="1:87" ht="15.95" customHeight="1">
      <c r="C162" s="219" t="s">
        <v>200</v>
      </c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S162" s="217"/>
    </row>
    <row r="163" spans="1:87" ht="15.75">
      <c r="C163" s="42"/>
      <c r="D163"/>
      <c r="E163"/>
      <c r="F163"/>
      <c r="G163"/>
      <c r="H163"/>
      <c r="I163"/>
      <c r="J163"/>
      <c r="S163" s="217"/>
    </row>
    <row r="164" spans="1:87" ht="15.95" customHeight="1">
      <c r="C164" s="218" t="s">
        <v>156</v>
      </c>
      <c r="D164" s="218"/>
      <c r="E164" s="218"/>
      <c r="F164" s="218"/>
      <c r="G164" s="218"/>
      <c r="H164" s="218"/>
      <c r="I164" s="218"/>
      <c r="J164" s="218"/>
      <c r="K164" s="218"/>
      <c r="L164" s="218"/>
      <c r="M164" s="218"/>
      <c r="N164" s="218"/>
      <c r="O164" s="218"/>
      <c r="R164" s="23" t="s">
        <v>292</v>
      </c>
      <c r="S164" s="216"/>
      <c r="T164" s="49" t="s">
        <v>42</v>
      </c>
    </row>
    <row r="165" spans="1:87" ht="15.95" customHeight="1">
      <c r="C165" s="218" t="s">
        <v>157</v>
      </c>
      <c r="D165" s="218"/>
      <c r="E165" s="218"/>
      <c r="F165" s="218"/>
      <c r="G165" s="218"/>
      <c r="H165" s="218"/>
      <c r="I165" s="218"/>
      <c r="J165" s="218"/>
      <c r="K165" s="218"/>
      <c r="L165" s="218"/>
      <c r="M165" s="218"/>
      <c r="N165" s="218"/>
      <c r="O165" s="218"/>
      <c r="R165" s="23" t="s">
        <v>293</v>
      </c>
      <c r="S165" s="215"/>
      <c r="T165" s="49" t="s">
        <v>42</v>
      </c>
    </row>
    <row r="166" spans="1:87" ht="15.95" customHeight="1">
      <c r="C166" s="218" t="s">
        <v>158</v>
      </c>
      <c r="D166" s="218"/>
      <c r="E166" s="218"/>
      <c r="F166" s="218"/>
      <c r="G166" s="218"/>
      <c r="H166" s="218"/>
      <c r="I166" s="218"/>
      <c r="J166" s="218"/>
      <c r="K166" s="218"/>
      <c r="L166" s="218"/>
      <c r="M166" s="218"/>
      <c r="N166" s="218"/>
      <c r="O166" s="218"/>
      <c r="R166" s="23" t="s">
        <v>294</v>
      </c>
      <c r="S166" s="216"/>
      <c r="T166" s="49" t="s">
        <v>42</v>
      </c>
    </row>
    <row r="167" spans="1:87" ht="15.75">
      <c r="C167" s="46"/>
      <c r="D167"/>
      <c r="E167"/>
      <c r="F167"/>
      <c r="G167"/>
      <c r="H167"/>
      <c r="I167"/>
      <c r="J167"/>
      <c r="S167" s="217"/>
    </row>
    <row r="169" spans="1:87" s="16" customFormat="1" ht="15.75">
      <c r="A169" s="11"/>
      <c r="B169" s="23"/>
      <c r="C169" s="50" t="s">
        <v>47</v>
      </c>
      <c r="D169" s="51"/>
      <c r="F169" s="28"/>
      <c r="H169" s="28"/>
      <c r="J169" s="28"/>
      <c r="L169" s="28"/>
      <c r="N169" s="28"/>
      <c r="P169" s="28"/>
      <c r="R169" s="28"/>
      <c r="T169" s="28"/>
      <c r="V169" s="28"/>
      <c r="X169" s="28"/>
      <c r="Y169" s="12"/>
      <c r="Z169" s="30"/>
      <c r="AB169" s="28"/>
      <c r="AD169" s="28"/>
      <c r="AE169" s="13"/>
      <c r="AF169" s="31"/>
      <c r="AG169" s="13"/>
      <c r="AH169" s="31"/>
      <c r="AI169" s="13"/>
      <c r="AJ169" s="31"/>
      <c r="AK169" s="12"/>
      <c r="AL169" s="30"/>
      <c r="AM169" s="12"/>
      <c r="AN169" s="30"/>
      <c r="AO169" s="12"/>
      <c r="AP169" s="30"/>
      <c r="AQ169" s="14"/>
      <c r="AR169" s="32"/>
      <c r="AS169" s="12"/>
      <c r="AT169" s="30"/>
      <c r="AV169" s="28"/>
      <c r="AX169" s="28"/>
      <c r="AZ169" s="28"/>
      <c r="BA169" s="14"/>
      <c r="BB169" s="32"/>
      <c r="BC169" s="12"/>
      <c r="BD169" s="30"/>
      <c r="BF169" s="28"/>
      <c r="BH169" s="28"/>
      <c r="BI169" s="12"/>
      <c r="BJ169" s="30"/>
      <c r="BL169" s="28"/>
      <c r="BM169" s="14"/>
      <c r="BN169" s="32"/>
      <c r="BO169" s="14"/>
      <c r="BP169" s="32"/>
      <c r="BQ169" s="14"/>
      <c r="BR169" s="32"/>
      <c r="BS169" s="12"/>
      <c r="BT169" s="30"/>
      <c r="BU169" s="12"/>
      <c r="BV169" s="30"/>
      <c r="BW169" s="15"/>
      <c r="BX169" s="36"/>
      <c r="BY169" s="15"/>
      <c r="BZ169" s="36"/>
      <c r="CB169" s="28"/>
      <c r="CD169" s="28"/>
    </row>
    <row r="170" spans="1:87" s="1" customFormat="1" ht="12" customHeight="1" thickBot="1">
      <c r="A170" s="11"/>
      <c r="B170" s="23"/>
      <c r="C170" s="50"/>
      <c r="D170" s="51"/>
      <c r="E170" s="16"/>
      <c r="F170" s="28"/>
      <c r="G170" s="16"/>
      <c r="H170" s="28"/>
      <c r="I170" s="16"/>
      <c r="J170" s="28"/>
      <c r="K170" s="16"/>
      <c r="L170" s="28"/>
      <c r="M170" s="16"/>
      <c r="N170" s="28"/>
      <c r="O170" s="16"/>
      <c r="P170" s="28"/>
      <c r="Q170" s="16"/>
      <c r="R170" s="28"/>
      <c r="S170" s="16"/>
      <c r="T170" s="28"/>
      <c r="U170" s="16"/>
      <c r="V170" s="28"/>
      <c r="W170" s="16"/>
      <c r="X170" s="28"/>
      <c r="Y170" s="12"/>
      <c r="Z170" s="30"/>
      <c r="AA170" s="16"/>
      <c r="AB170" s="28"/>
      <c r="AC170" s="16"/>
      <c r="AD170" s="28"/>
      <c r="AE170" s="13"/>
      <c r="AF170" s="31"/>
      <c r="AG170" s="13"/>
      <c r="AH170" s="31"/>
      <c r="AI170" s="13"/>
      <c r="AJ170" s="31"/>
      <c r="AK170" s="12"/>
      <c r="AL170" s="30"/>
      <c r="AM170" s="12"/>
      <c r="AN170" s="30"/>
      <c r="AO170" s="12"/>
      <c r="AP170" s="30"/>
      <c r="AQ170" s="14"/>
      <c r="AR170" s="32"/>
      <c r="AS170" s="12"/>
      <c r="AT170" s="30"/>
      <c r="AU170" s="16"/>
      <c r="AV170" s="28"/>
      <c r="AW170" s="16"/>
      <c r="AX170" s="28"/>
      <c r="AY170" s="16"/>
      <c r="AZ170" s="28"/>
      <c r="BA170" s="14"/>
      <c r="BB170" s="32"/>
      <c r="BC170" s="12"/>
      <c r="BD170" s="30"/>
      <c r="BE170" s="16"/>
      <c r="BF170" s="28"/>
      <c r="BG170" s="16"/>
      <c r="BH170" s="28"/>
      <c r="BI170" s="12"/>
      <c r="BJ170" s="30"/>
      <c r="BK170" s="16"/>
      <c r="BL170" s="28"/>
      <c r="BM170" s="14"/>
      <c r="BN170" s="32"/>
      <c r="BO170" s="14"/>
      <c r="BP170" s="32"/>
      <c r="BQ170" s="14"/>
      <c r="BR170" s="32"/>
      <c r="BS170" s="12"/>
      <c r="BT170" s="30"/>
      <c r="BU170" s="12"/>
      <c r="BV170" s="30"/>
      <c r="BW170" s="15"/>
      <c r="BX170" s="36"/>
      <c r="BY170" s="15"/>
      <c r="BZ170" s="36"/>
      <c r="CA170" s="16"/>
      <c r="CB170" s="28"/>
      <c r="CC170" s="16"/>
      <c r="CD170" s="28"/>
      <c r="CE170" s="16"/>
      <c r="CF170" s="16"/>
      <c r="CG170" s="16"/>
      <c r="CH170" s="16"/>
      <c r="CI170" s="16"/>
    </row>
    <row r="171" spans="1:87" ht="15" customHeight="1" thickBot="1">
      <c r="A171" s="11"/>
      <c r="B171" s="52"/>
      <c r="C171" s="230"/>
      <c r="D171" s="230"/>
      <c r="E171" s="230"/>
      <c r="F171" s="230"/>
      <c r="G171" s="230"/>
      <c r="H171" s="230"/>
      <c r="I171" s="230"/>
      <c r="J171" s="230"/>
      <c r="K171" s="230"/>
      <c r="L171" s="230"/>
      <c r="M171" s="230"/>
      <c r="N171" s="230"/>
      <c r="O171" s="230"/>
      <c r="P171" s="230"/>
      <c r="Q171" s="230"/>
      <c r="R171" s="230"/>
      <c r="S171" s="230"/>
      <c r="T171" s="230"/>
      <c r="U171" s="230"/>
      <c r="V171" s="230"/>
      <c r="W171" s="230"/>
      <c r="X171" s="230"/>
      <c r="Y171" s="230"/>
      <c r="Z171" s="230"/>
      <c r="AA171" s="230"/>
      <c r="AB171" s="230"/>
      <c r="AC171" s="230"/>
      <c r="AD171" s="230"/>
      <c r="AE171" s="230"/>
      <c r="AF171" s="230"/>
      <c r="AG171" s="230"/>
      <c r="AH171" s="230"/>
      <c r="AI171" s="230"/>
      <c r="AJ171" s="230"/>
      <c r="AK171" s="230"/>
      <c r="AL171" s="230"/>
      <c r="AM171" s="230"/>
      <c r="AN171" s="230"/>
      <c r="AO171" s="230"/>
      <c r="AP171" s="230"/>
      <c r="AQ171" s="230"/>
      <c r="AR171" s="230"/>
      <c r="AS171" s="230"/>
      <c r="AT171" s="230"/>
      <c r="AU171" s="230"/>
      <c r="AV171" s="230"/>
      <c r="AW171" s="230"/>
      <c r="AX171" s="230"/>
      <c r="AY171" s="230"/>
      <c r="AZ171" s="230"/>
      <c r="BA171" s="230"/>
      <c r="BB171" s="230"/>
      <c r="BC171" s="230"/>
      <c r="BD171" s="230"/>
      <c r="BE171" s="230"/>
      <c r="BF171" s="230"/>
      <c r="BG171" s="230"/>
      <c r="BH171" s="230"/>
      <c r="BI171" s="230"/>
      <c r="BJ171" s="230"/>
      <c r="BK171" s="230"/>
      <c r="BL171" s="53"/>
      <c r="BM171" s="54"/>
      <c r="BN171" s="50"/>
      <c r="BO171" s="50"/>
      <c r="BP171" s="50"/>
      <c r="BQ171" s="50"/>
      <c r="BR171" s="50"/>
      <c r="BS171" s="50"/>
      <c r="BT171" s="50"/>
      <c r="BU171" s="50"/>
      <c r="BV171" s="50"/>
      <c r="BW171" s="50"/>
      <c r="BX171" s="50"/>
      <c r="BY171" s="50"/>
      <c r="BZ171" s="50"/>
      <c r="CA171" s="50"/>
      <c r="CC171" s="16"/>
      <c r="CE171" s="16"/>
      <c r="CF171" s="16"/>
      <c r="CG171" s="16"/>
      <c r="CH171" s="16"/>
      <c r="CI171" s="16"/>
    </row>
    <row r="172" spans="1:87" ht="15" customHeight="1" thickBot="1">
      <c r="A172" s="55"/>
      <c r="B172" s="56"/>
      <c r="C172" s="231" t="s">
        <v>167</v>
      </c>
      <c r="D172" s="232"/>
      <c r="E172" s="232"/>
      <c r="F172" s="232"/>
      <c r="G172" s="232"/>
      <c r="H172" s="232"/>
      <c r="I172" s="232"/>
      <c r="J172" s="232"/>
      <c r="K172" s="233"/>
      <c r="L172" s="57"/>
      <c r="M172" s="234" t="s">
        <v>168</v>
      </c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58"/>
      <c r="Y172" s="236" t="s">
        <v>169</v>
      </c>
      <c r="Z172" s="237"/>
      <c r="AA172" s="237"/>
      <c r="AB172" s="237"/>
      <c r="AC172" s="237"/>
      <c r="AD172" s="237"/>
      <c r="AE172" s="237"/>
      <c r="AF172" s="237"/>
      <c r="AG172" s="237"/>
      <c r="AH172" s="237"/>
      <c r="AI172" s="237"/>
      <c r="AJ172" s="237"/>
      <c r="AK172" s="238"/>
      <c r="AL172" s="59"/>
      <c r="AM172" s="239" t="s">
        <v>170</v>
      </c>
      <c r="AN172" s="240"/>
      <c r="AO172" s="241"/>
      <c r="AP172" s="60"/>
      <c r="AQ172" s="242" t="s">
        <v>171</v>
      </c>
      <c r="AR172" s="243"/>
      <c r="AS172" s="243"/>
      <c r="AT172" s="243"/>
      <c r="AU172" s="243"/>
      <c r="AV172" s="243"/>
      <c r="AW172" s="243"/>
      <c r="AX172" s="243"/>
      <c r="AY172" s="244"/>
      <c r="AZ172" s="61"/>
      <c r="BA172" s="242" t="s">
        <v>181</v>
      </c>
      <c r="BB172" s="243"/>
      <c r="BC172" s="243"/>
      <c r="BD172" s="243"/>
      <c r="BE172" s="243"/>
      <c r="BF172" s="243"/>
      <c r="BG172" s="243"/>
      <c r="BH172" s="243"/>
      <c r="BI172" s="243"/>
      <c r="BJ172" s="62"/>
      <c r="BK172" s="63"/>
      <c r="BL172" s="64"/>
      <c r="BM172" s="245" t="s">
        <v>172</v>
      </c>
      <c r="BN172" s="246"/>
      <c r="BO172" s="247"/>
      <c r="BP172" s="65"/>
      <c r="BQ172" s="66"/>
      <c r="BR172" s="67"/>
      <c r="BS172" s="68"/>
      <c r="BT172" s="69"/>
      <c r="BU172" s="70"/>
      <c r="BV172" s="71"/>
      <c r="BW172" s="72"/>
      <c r="BX172" s="73"/>
      <c r="BY172" s="248" t="s">
        <v>173</v>
      </c>
      <c r="BZ172" s="249"/>
      <c r="CA172" s="250"/>
      <c r="CB172" s="74"/>
      <c r="CC172" s="41"/>
      <c r="CD172" s="74"/>
      <c r="CE172" s="41"/>
      <c r="CF172" s="41"/>
      <c r="CG172" s="41"/>
      <c r="CH172" s="41"/>
      <c r="CI172" s="41"/>
    </row>
    <row r="173" spans="1:87" ht="76.5">
      <c r="A173" s="8"/>
      <c r="B173" s="22"/>
      <c r="C173" s="75" t="s">
        <v>174</v>
      </c>
      <c r="D173" s="76"/>
      <c r="E173" s="77" t="s">
        <v>10</v>
      </c>
      <c r="F173" s="76"/>
      <c r="G173" s="77" t="s">
        <v>11</v>
      </c>
      <c r="H173" s="76"/>
      <c r="I173" s="78" t="s">
        <v>3</v>
      </c>
      <c r="J173" s="79"/>
      <c r="K173" s="80" t="s">
        <v>4</v>
      </c>
      <c r="L173" s="81"/>
      <c r="M173" s="82" t="s">
        <v>19</v>
      </c>
      <c r="N173" s="83"/>
      <c r="O173" s="84" t="s">
        <v>18</v>
      </c>
      <c r="P173" s="83"/>
      <c r="Q173" s="85" t="s">
        <v>295</v>
      </c>
      <c r="R173" s="86"/>
      <c r="S173" s="87" t="s">
        <v>31</v>
      </c>
      <c r="T173" s="83"/>
      <c r="U173" s="84" t="s">
        <v>20</v>
      </c>
      <c r="V173" s="83"/>
      <c r="W173" s="88" t="s">
        <v>21</v>
      </c>
      <c r="X173" s="89"/>
      <c r="Y173" s="90" t="s">
        <v>7</v>
      </c>
      <c r="Z173" s="83"/>
      <c r="AA173" s="84" t="s">
        <v>22</v>
      </c>
      <c r="AB173" s="83"/>
      <c r="AC173" s="84" t="s">
        <v>23</v>
      </c>
      <c r="AD173" s="83"/>
      <c r="AE173" s="84" t="s">
        <v>24</v>
      </c>
      <c r="AF173" s="83"/>
      <c r="AG173" s="84" t="s">
        <v>49</v>
      </c>
      <c r="AH173" s="83"/>
      <c r="AI173" s="84" t="s">
        <v>50</v>
      </c>
      <c r="AJ173" s="83"/>
      <c r="AK173" s="91" t="s">
        <v>25</v>
      </c>
      <c r="AL173" s="89"/>
      <c r="AM173" s="92" t="s">
        <v>175</v>
      </c>
      <c r="AN173" s="93"/>
      <c r="AO173" s="94" t="s">
        <v>176</v>
      </c>
      <c r="AP173" s="89"/>
      <c r="AQ173" s="95" t="s">
        <v>45</v>
      </c>
      <c r="AR173" s="86"/>
      <c r="AS173" s="96" t="s">
        <v>12</v>
      </c>
      <c r="AT173" s="97"/>
      <c r="AU173" s="87" t="s">
        <v>13</v>
      </c>
      <c r="AV173" s="86"/>
      <c r="AW173" s="87" t="s">
        <v>52</v>
      </c>
      <c r="AX173" s="86"/>
      <c r="AY173" s="91" t="s">
        <v>14</v>
      </c>
      <c r="AZ173" s="89"/>
      <c r="BA173" s="95" t="s">
        <v>46</v>
      </c>
      <c r="BB173" s="86"/>
      <c r="BC173" s="96" t="s">
        <v>16</v>
      </c>
      <c r="BD173" s="97"/>
      <c r="BE173" s="87" t="s">
        <v>15</v>
      </c>
      <c r="BF173" s="86"/>
      <c r="BG173" s="87" t="s">
        <v>53</v>
      </c>
      <c r="BH173" s="86"/>
      <c r="BI173" s="91" t="s">
        <v>17</v>
      </c>
      <c r="BJ173" s="89"/>
      <c r="BK173" s="98" t="s">
        <v>5</v>
      </c>
      <c r="BL173" s="99"/>
      <c r="BM173" s="90" t="s">
        <v>6</v>
      </c>
      <c r="BN173" s="83"/>
      <c r="BO173" s="100" t="s">
        <v>2</v>
      </c>
      <c r="BP173" s="101"/>
      <c r="BQ173" s="102"/>
      <c r="BR173" s="103"/>
      <c r="BS173" s="96" t="s">
        <v>1</v>
      </c>
      <c r="BT173" s="104"/>
      <c r="BU173" s="105"/>
      <c r="BV173" s="103"/>
      <c r="BW173" s="106" t="s">
        <v>0</v>
      </c>
      <c r="BX173" s="107"/>
      <c r="BY173" s="108" t="s">
        <v>8</v>
      </c>
      <c r="BZ173" s="109"/>
      <c r="CA173" s="110" t="s">
        <v>9</v>
      </c>
      <c r="CB173" s="111"/>
      <c r="CC173" s="112"/>
      <c r="CD173" s="23"/>
      <c r="CE173" s="19"/>
      <c r="CF173" s="112"/>
      <c r="CG173" s="112"/>
      <c r="CH173" s="112"/>
      <c r="CI173" s="112"/>
    </row>
    <row r="174" spans="1:87">
      <c r="A174" s="20" t="str">
        <f>IF(ISBLANK(C174),"",_xlfn.CONCAT("&lt;Position ",ROW(C174)-2))</f>
        <v/>
      </c>
      <c r="B174" s="23" t="s">
        <v>296</v>
      </c>
      <c r="C174" s="113"/>
      <c r="D174" s="114" t="s">
        <v>297</v>
      </c>
      <c r="E174" s="115"/>
      <c r="F174" s="116" t="s">
        <v>298</v>
      </c>
      <c r="G174" s="115"/>
      <c r="H174" s="116" t="s">
        <v>299</v>
      </c>
      <c r="I174" s="117"/>
      <c r="J174" s="118" t="s">
        <v>300</v>
      </c>
      <c r="K174" s="119"/>
      <c r="L174" s="120" t="s">
        <v>301</v>
      </c>
      <c r="M174" s="121"/>
      <c r="N174" s="116" t="s">
        <v>302</v>
      </c>
      <c r="O174" s="115"/>
      <c r="P174" s="116" t="s">
        <v>303</v>
      </c>
      <c r="Q174" s="122"/>
      <c r="R174" s="33" t="s">
        <v>42</v>
      </c>
      <c r="S174" s="123">
        <f t="shared" ref="S174:S198" si="0">Q174*I174</f>
        <v>0</v>
      </c>
      <c r="T174" s="116" t="s">
        <v>304</v>
      </c>
      <c r="U174" s="115"/>
      <c r="V174" s="116" t="s">
        <v>305</v>
      </c>
      <c r="W174" s="124"/>
      <c r="X174" s="125" t="s">
        <v>306</v>
      </c>
      <c r="Y174" s="126"/>
      <c r="Z174" s="127" t="s">
        <v>307</v>
      </c>
      <c r="AA174" s="115"/>
      <c r="AB174" s="116" t="s">
        <v>308</v>
      </c>
      <c r="AC174" s="115"/>
      <c r="AD174" s="116" t="s">
        <v>309</v>
      </c>
      <c r="AE174" s="115"/>
      <c r="AF174" s="116" t="s">
        <v>310</v>
      </c>
      <c r="AG174" s="115"/>
      <c r="AH174" s="116" t="s">
        <v>311</v>
      </c>
      <c r="AI174" s="115"/>
      <c r="AJ174" s="116" t="s">
        <v>312</v>
      </c>
      <c r="AK174" s="124"/>
      <c r="AL174" s="125" t="s">
        <v>313</v>
      </c>
      <c r="AM174" s="128"/>
      <c r="AN174" s="116" t="s">
        <v>314</v>
      </c>
      <c r="AO174" s="129"/>
      <c r="AP174" s="125" t="s">
        <v>315</v>
      </c>
      <c r="AQ174" s="130"/>
      <c r="AR174" s="33" t="s">
        <v>316</v>
      </c>
      <c r="AS174" s="131"/>
      <c r="AT174" s="35" t="s">
        <v>317</v>
      </c>
      <c r="AU174" s="123">
        <f t="shared" ref="AU174:AU198" si="1">AQ174*AS174</f>
        <v>0</v>
      </c>
      <c r="AV174" s="33" t="s">
        <v>318</v>
      </c>
      <c r="AW174" s="18"/>
      <c r="AX174" s="33" t="s">
        <v>319</v>
      </c>
      <c r="AY174" s="124"/>
      <c r="AZ174" s="125" t="s">
        <v>320</v>
      </c>
      <c r="BA174" s="130"/>
      <c r="BB174" s="33" t="s">
        <v>321</v>
      </c>
      <c r="BC174" s="131"/>
      <c r="BD174" s="35" t="s">
        <v>322</v>
      </c>
      <c r="BE174" s="123">
        <f t="shared" ref="BE174:BE198" si="2">BA174*BC174</f>
        <v>0</v>
      </c>
      <c r="BF174" s="33" t="s">
        <v>323</v>
      </c>
      <c r="BG174" s="18"/>
      <c r="BH174" s="33" t="s">
        <v>324</v>
      </c>
      <c r="BI174" s="124"/>
      <c r="BJ174" s="125" t="s">
        <v>325</v>
      </c>
      <c r="BK174" s="132">
        <f t="shared" ref="BK174:BK198" si="3">IF(ISBLANK(AND(AU174,BE174)),Q174*I174,IF(ISBLANK(BE174),Q174*I174-AU174,IF(NOT(ISBLANK(AND(AU174,BE174))),Q174*I174-AU174+BE174,Q174*I174-BE174)))</f>
        <v>0</v>
      </c>
      <c r="BL174" s="133" t="s">
        <v>326</v>
      </c>
      <c r="BM174" s="134"/>
      <c r="BN174" s="116" t="s">
        <v>327</v>
      </c>
      <c r="BO174" s="135"/>
      <c r="BP174" s="136" t="s">
        <v>51</v>
      </c>
      <c r="BQ174" s="137">
        <v>0.19</v>
      </c>
      <c r="BR174" s="138"/>
      <c r="BS174" s="123">
        <f t="shared" ref="BS174:BS198" si="4">BK174*BO174</f>
        <v>0</v>
      </c>
      <c r="BT174" s="139"/>
      <c r="BV174" s="140"/>
      <c r="BW174" s="141">
        <f t="shared" ref="BW174:BW198" si="5">BK174+BS174</f>
        <v>0</v>
      </c>
      <c r="BX174" s="133" t="s">
        <v>328</v>
      </c>
      <c r="BY174" s="142"/>
      <c r="BZ174" s="38" t="s">
        <v>329</v>
      </c>
      <c r="CA174" s="143"/>
      <c r="CB174" s="144" t="s">
        <v>51</v>
      </c>
      <c r="CC174" s="19" t="str">
        <f t="shared" ref="CC174:CC198" si="6">IF(ISBLANK(C174),"","&gt;")</f>
        <v/>
      </c>
    </row>
    <row r="175" spans="1:87">
      <c r="A175" s="21" t="str">
        <f>IF(ISBLANK(C175),"",_xlfn.CONCAT("&lt;Position ",ROW(C175)-2))</f>
        <v/>
      </c>
      <c r="B175" s="23" t="s">
        <v>296</v>
      </c>
      <c r="C175" s="113"/>
      <c r="D175" s="114" t="s">
        <v>297</v>
      </c>
      <c r="E175" s="115"/>
      <c r="F175" s="116" t="s">
        <v>298</v>
      </c>
      <c r="G175" s="115"/>
      <c r="H175" s="116" t="s">
        <v>299</v>
      </c>
      <c r="I175" s="117"/>
      <c r="J175" s="118" t="s">
        <v>300</v>
      </c>
      <c r="K175" s="119"/>
      <c r="L175" s="120" t="s">
        <v>301</v>
      </c>
      <c r="M175" s="121"/>
      <c r="N175" s="116" t="s">
        <v>302</v>
      </c>
      <c r="O175" s="115"/>
      <c r="P175" s="116" t="s">
        <v>303</v>
      </c>
      <c r="Q175" s="122"/>
      <c r="R175" s="33" t="s">
        <v>42</v>
      </c>
      <c r="S175" s="123">
        <f t="shared" si="0"/>
        <v>0</v>
      </c>
      <c r="T175" s="116" t="s">
        <v>304</v>
      </c>
      <c r="U175" s="115"/>
      <c r="V175" s="116" t="s">
        <v>305</v>
      </c>
      <c r="W175" s="124"/>
      <c r="X175" s="125" t="s">
        <v>306</v>
      </c>
      <c r="Y175" s="126"/>
      <c r="Z175" s="127" t="s">
        <v>307</v>
      </c>
      <c r="AA175" s="115"/>
      <c r="AB175" s="116" t="s">
        <v>308</v>
      </c>
      <c r="AC175" s="115"/>
      <c r="AD175" s="116" t="s">
        <v>309</v>
      </c>
      <c r="AE175" s="115"/>
      <c r="AF175" s="116" t="s">
        <v>310</v>
      </c>
      <c r="AG175" s="115"/>
      <c r="AH175" s="116" t="s">
        <v>311</v>
      </c>
      <c r="AI175" s="115"/>
      <c r="AJ175" s="116" t="s">
        <v>312</v>
      </c>
      <c r="AK175" s="124"/>
      <c r="AL175" s="125" t="s">
        <v>313</v>
      </c>
      <c r="AM175" s="128"/>
      <c r="AN175" s="116" t="s">
        <v>314</v>
      </c>
      <c r="AO175" s="129"/>
      <c r="AP175" s="125" t="s">
        <v>315</v>
      </c>
      <c r="AQ175" s="130"/>
      <c r="AR175" s="33" t="s">
        <v>316</v>
      </c>
      <c r="AS175" s="131"/>
      <c r="AT175" s="35" t="s">
        <v>317</v>
      </c>
      <c r="AU175" s="123">
        <f t="shared" si="1"/>
        <v>0</v>
      </c>
      <c r="AV175" s="33" t="s">
        <v>318</v>
      </c>
      <c r="AW175" s="18"/>
      <c r="AX175" s="33" t="s">
        <v>319</v>
      </c>
      <c r="AY175" s="124"/>
      <c r="AZ175" s="125" t="s">
        <v>320</v>
      </c>
      <c r="BA175" s="130"/>
      <c r="BB175" s="33" t="s">
        <v>321</v>
      </c>
      <c r="BC175" s="131"/>
      <c r="BD175" s="35" t="s">
        <v>322</v>
      </c>
      <c r="BE175" s="123">
        <f t="shared" si="2"/>
        <v>0</v>
      </c>
      <c r="BF175" s="33" t="s">
        <v>323</v>
      </c>
      <c r="BG175" s="18"/>
      <c r="BH175" s="33" t="s">
        <v>324</v>
      </c>
      <c r="BI175" s="124"/>
      <c r="BJ175" s="125" t="s">
        <v>325</v>
      </c>
      <c r="BK175" s="132">
        <f t="shared" si="3"/>
        <v>0</v>
      </c>
      <c r="BL175" s="133" t="s">
        <v>326</v>
      </c>
      <c r="BM175" s="134"/>
      <c r="BN175" s="116" t="s">
        <v>327</v>
      </c>
      <c r="BO175" s="135"/>
      <c r="BP175" s="136" t="s">
        <v>51</v>
      </c>
      <c r="BQ175" s="137">
        <v>7.0000000000000007E-2</v>
      </c>
      <c r="BR175" s="138"/>
      <c r="BS175" s="123">
        <f t="shared" si="4"/>
        <v>0</v>
      </c>
      <c r="BT175" s="139"/>
      <c r="BV175" s="140"/>
      <c r="BW175" s="141">
        <f t="shared" si="5"/>
        <v>0</v>
      </c>
      <c r="BX175" s="133" t="s">
        <v>328</v>
      </c>
      <c r="BY175" s="142"/>
      <c r="BZ175" s="38" t="s">
        <v>329</v>
      </c>
      <c r="CA175" s="143"/>
      <c r="CB175" s="144" t="s">
        <v>51</v>
      </c>
      <c r="CC175" s="20" t="str">
        <f t="shared" si="6"/>
        <v/>
      </c>
    </row>
    <row r="176" spans="1:87">
      <c r="A176" s="20" t="str">
        <f t="shared" ref="A176:A198" si="7">IF(ISBLANK(C176),"",_xlfn.CONCAT("&lt;Position ",ROW(C176)-2))</f>
        <v/>
      </c>
      <c r="B176" s="23" t="s">
        <v>296</v>
      </c>
      <c r="C176" s="113"/>
      <c r="D176" s="114" t="s">
        <v>297</v>
      </c>
      <c r="E176" s="115"/>
      <c r="F176" s="116" t="s">
        <v>298</v>
      </c>
      <c r="G176" s="115"/>
      <c r="H176" s="116" t="s">
        <v>299</v>
      </c>
      <c r="I176" s="117"/>
      <c r="J176" s="118" t="s">
        <v>300</v>
      </c>
      <c r="K176" s="119"/>
      <c r="L176" s="120" t="s">
        <v>301</v>
      </c>
      <c r="M176" s="121"/>
      <c r="N176" s="116" t="s">
        <v>302</v>
      </c>
      <c r="O176" s="115"/>
      <c r="P176" s="116" t="s">
        <v>303</v>
      </c>
      <c r="Q176" s="122"/>
      <c r="R176" s="33" t="s">
        <v>42</v>
      </c>
      <c r="S176" s="123">
        <f t="shared" si="0"/>
        <v>0</v>
      </c>
      <c r="T176" s="116" t="s">
        <v>304</v>
      </c>
      <c r="U176" s="115"/>
      <c r="V176" s="116" t="s">
        <v>305</v>
      </c>
      <c r="W176" s="124"/>
      <c r="X176" s="125" t="s">
        <v>306</v>
      </c>
      <c r="Y176" s="126"/>
      <c r="Z176" s="127" t="s">
        <v>307</v>
      </c>
      <c r="AA176" s="115"/>
      <c r="AB176" s="116" t="s">
        <v>308</v>
      </c>
      <c r="AC176" s="115"/>
      <c r="AD176" s="116" t="s">
        <v>309</v>
      </c>
      <c r="AE176" s="115"/>
      <c r="AF176" s="116" t="s">
        <v>310</v>
      </c>
      <c r="AG176" s="115"/>
      <c r="AH176" s="116" t="s">
        <v>311</v>
      </c>
      <c r="AI176" s="115"/>
      <c r="AJ176" s="116" t="s">
        <v>312</v>
      </c>
      <c r="AK176" s="124"/>
      <c r="AL176" s="125" t="s">
        <v>313</v>
      </c>
      <c r="AM176" s="128"/>
      <c r="AN176" s="116" t="s">
        <v>314</v>
      </c>
      <c r="AO176" s="129"/>
      <c r="AP176" s="125" t="s">
        <v>315</v>
      </c>
      <c r="AQ176" s="130"/>
      <c r="AR176" s="33" t="s">
        <v>316</v>
      </c>
      <c r="AS176" s="131"/>
      <c r="AT176" s="35" t="s">
        <v>317</v>
      </c>
      <c r="AU176" s="123">
        <f t="shared" si="1"/>
        <v>0</v>
      </c>
      <c r="AV176" s="33" t="s">
        <v>318</v>
      </c>
      <c r="AW176" s="18"/>
      <c r="AX176" s="33" t="s">
        <v>319</v>
      </c>
      <c r="AY176" s="124"/>
      <c r="AZ176" s="125" t="s">
        <v>320</v>
      </c>
      <c r="BA176" s="130"/>
      <c r="BB176" s="33" t="s">
        <v>321</v>
      </c>
      <c r="BC176" s="131"/>
      <c r="BD176" s="35" t="s">
        <v>322</v>
      </c>
      <c r="BE176" s="123">
        <f t="shared" si="2"/>
        <v>0</v>
      </c>
      <c r="BF176" s="33" t="s">
        <v>323</v>
      </c>
      <c r="BG176" s="18"/>
      <c r="BH176" s="33" t="s">
        <v>324</v>
      </c>
      <c r="BI176" s="124"/>
      <c r="BJ176" s="125" t="s">
        <v>325</v>
      </c>
      <c r="BK176" s="132">
        <f t="shared" si="3"/>
        <v>0</v>
      </c>
      <c r="BL176" s="133" t="s">
        <v>326</v>
      </c>
      <c r="BM176" s="134"/>
      <c r="BN176" s="116" t="s">
        <v>327</v>
      </c>
      <c r="BO176" s="135"/>
      <c r="BP176" s="136" t="s">
        <v>51</v>
      </c>
      <c r="BQ176" s="137">
        <v>0</v>
      </c>
      <c r="BR176" s="138"/>
      <c r="BS176" s="123">
        <f t="shared" si="4"/>
        <v>0</v>
      </c>
      <c r="BT176" s="139"/>
      <c r="BV176" s="140"/>
      <c r="BW176" s="141">
        <f t="shared" si="5"/>
        <v>0</v>
      </c>
      <c r="BX176" s="133" t="s">
        <v>328</v>
      </c>
      <c r="BY176" s="142"/>
      <c r="BZ176" s="38" t="s">
        <v>329</v>
      </c>
      <c r="CA176" s="143"/>
      <c r="CB176" s="144" t="s">
        <v>51</v>
      </c>
      <c r="CC176" s="19" t="str">
        <f t="shared" si="6"/>
        <v/>
      </c>
      <c r="CD176" s="29"/>
      <c r="CE176" s="10"/>
    </row>
    <row r="177" spans="1:83">
      <c r="A177" s="20" t="str">
        <f t="shared" si="7"/>
        <v/>
      </c>
      <c r="B177" s="23" t="s">
        <v>296</v>
      </c>
      <c r="C177" s="113"/>
      <c r="D177" s="114" t="s">
        <v>297</v>
      </c>
      <c r="E177" s="115"/>
      <c r="F177" s="116" t="s">
        <v>298</v>
      </c>
      <c r="G177" s="115"/>
      <c r="H177" s="116" t="s">
        <v>299</v>
      </c>
      <c r="I177" s="117"/>
      <c r="J177" s="118" t="s">
        <v>300</v>
      </c>
      <c r="K177" s="119"/>
      <c r="L177" s="120" t="s">
        <v>301</v>
      </c>
      <c r="M177" s="121"/>
      <c r="N177" s="116" t="s">
        <v>302</v>
      </c>
      <c r="O177" s="115"/>
      <c r="P177" s="116" t="s">
        <v>303</v>
      </c>
      <c r="Q177" s="122"/>
      <c r="R177" s="33" t="s">
        <v>42</v>
      </c>
      <c r="S177" s="123">
        <f t="shared" si="0"/>
        <v>0</v>
      </c>
      <c r="T177" s="116" t="s">
        <v>304</v>
      </c>
      <c r="U177" s="115"/>
      <c r="V177" s="116" t="s">
        <v>305</v>
      </c>
      <c r="W177" s="124"/>
      <c r="X177" s="125" t="s">
        <v>306</v>
      </c>
      <c r="Y177" s="126"/>
      <c r="Z177" s="127" t="s">
        <v>307</v>
      </c>
      <c r="AA177" s="115"/>
      <c r="AB177" s="116" t="s">
        <v>308</v>
      </c>
      <c r="AC177" s="115"/>
      <c r="AD177" s="116" t="s">
        <v>309</v>
      </c>
      <c r="AE177" s="115"/>
      <c r="AF177" s="116" t="s">
        <v>310</v>
      </c>
      <c r="AG177" s="115"/>
      <c r="AH177" s="116" t="s">
        <v>311</v>
      </c>
      <c r="AI177" s="115"/>
      <c r="AJ177" s="116" t="s">
        <v>312</v>
      </c>
      <c r="AK177" s="124"/>
      <c r="AL177" s="125" t="s">
        <v>313</v>
      </c>
      <c r="AM177" s="128"/>
      <c r="AN177" s="116" t="s">
        <v>314</v>
      </c>
      <c r="AO177" s="129"/>
      <c r="AP177" s="125" t="s">
        <v>315</v>
      </c>
      <c r="AQ177" s="130"/>
      <c r="AR177" s="33" t="s">
        <v>316</v>
      </c>
      <c r="AS177" s="131"/>
      <c r="AT177" s="35" t="s">
        <v>317</v>
      </c>
      <c r="AU177" s="123">
        <f t="shared" si="1"/>
        <v>0</v>
      </c>
      <c r="AV177" s="33" t="s">
        <v>318</v>
      </c>
      <c r="AW177" s="18"/>
      <c r="AX177" s="33" t="s">
        <v>319</v>
      </c>
      <c r="AY177" s="124"/>
      <c r="AZ177" s="125" t="s">
        <v>320</v>
      </c>
      <c r="BA177" s="130"/>
      <c r="BB177" s="33" t="s">
        <v>321</v>
      </c>
      <c r="BC177" s="131"/>
      <c r="BD177" s="35" t="s">
        <v>322</v>
      </c>
      <c r="BE177" s="123">
        <f t="shared" si="2"/>
        <v>0</v>
      </c>
      <c r="BF177" s="33" t="s">
        <v>323</v>
      </c>
      <c r="BG177" s="18"/>
      <c r="BH177" s="33" t="s">
        <v>324</v>
      </c>
      <c r="BI177" s="124"/>
      <c r="BJ177" s="125" t="s">
        <v>325</v>
      </c>
      <c r="BK177" s="132">
        <f t="shared" si="3"/>
        <v>0</v>
      </c>
      <c r="BL177" s="133" t="s">
        <v>326</v>
      </c>
      <c r="BM177" s="134"/>
      <c r="BN177" s="116" t="s">
        <v>327</v>
      </c>
      <c r="BO177" s="135"/>
      <c r="BP177" s="136" t="s">
        <v>51</v>
      </c>
      <c r="BR177" s="138"/>
      <c r="BS177" s="123">
        <f t="shared" si="4"/>
        <v>0</v>
      </c>
      <c r="BT177" s="139"/>
      <c r="BV177" s="140"/>
      <c r="BW177" s="141">
        <f t="shared" si="5"/>
        <v>0</v>
      </c>
      <c r="BX177" s="133" t="s">
        <v>328</v>
      </c>
      <c r="BY177" s="142"/>
      <c r="BZ177" s="38" t="s">
        <v>329</v>
      </c>
      <c r="CA177" s="143"/>
      <c r="CB177" s="144" t="s">
        <v>51</v>
      </c>
      <c r="CC177" s="19" t="str">
        <f t="shared" si="6"/>
        <v/>
      </c>
    </row>
    <row r="178" spans="1:83">
      <c r="A178" s="20" t="str">
        <f t="shared" si="7"/>
        <v/>
      </c>
      <c r="B178" s="23" t="s">
        <v>296</v>
      </c>
      <c r="C178" s="113"/>
      <c r="D178" s="114" t="s">
        <v>297</v>
      </c>
      <c r="E178" s="115"/>
      <c r="F178" s="116" t="s">
        <v>298</v>
      </c>
      <c r="G178" s="115"/>
      <c r="H178" s="116" t="s">
        <v>299</v>
      </c>
      <c r="I178" s="117"/>
      <c r="J178" s="118" t="s">
        <v>300</v>
      </c>
      <c r="K178" s="119"/>
      <c r="L178" s="120" t="s">
        <v>301</v>
      </c>
      <c r="M178" s="121"/>
      <c r="N178" s="116" t="s">
        <v>302</v>
      </c>
      <c r="O178" s="115"/>
      <c r="P178" s="116" t="s">
        <v>303</v>
      </c>
      <c r="Q178" s="122"/>
      <c r="R178" s="33" t="s">
        <v>42</v>
      </c>
      <c r="S178" s="123">
        <f t="shared" si="0"/>
        <v>0</v>
      </c>
      <c r="T178" s="116" t="s">
        <v>304</v>
      </c>
      <c r="U178" s="115"/>
      <c r="V178" s="116" t="s">
        <v>305</v>
      </c>
      <c r="W178" s="124"/>
      <c r="X178" s="125" t="s">
        <v>306</v>
      </c>
      <c r="Y178" s="126"/>
      <c r="Z178" s="127" t="s">
        <v>307</v>
      </c>
      <c r="AA178" s="115"/>
      <c r="AB178" s="116" t="s">
        <v>308</v>
      </c>
      <c r="AC178" s="115"/>
      <c r="AD178" s="116" t="s">
        <v>309</v>
      </c>
      <c r="AE178" s="115"/>
      <c r="AF178" s="116" t="s">
        <v>310</v>
      </c>
      <c r="AG178" s="115"/>
      <c r="AH178" s="116" t="s">
        <v>311</v>
      </c>
      <c r="AI178" s="115"/>
      <c r="AJ178" s="116" t="s">
        <v>312</v>
      </c>
      <c r="AK178" s="124"/>
      <c r="AL178" s="125" t="s">
        <v>313</v>
      </c>
      <c r="AM178" s="128"/>
      <c r="AN178" s="116" t="s">
        <v>314</v>
      </c>
      <c r="AO178" s="129"/>
      <c r="AP178" s="125" t="s">
        <v>315</v>
      </c>
      <c r="AQ178" s="130"/>
      <c r="AR178" s="33" t="s">
        <v>316</v>
      </c>
      <c r="AS178" s="131"/>
      <c r="AT178" s="35" t="s">
        <v>317</v>
      </c>
      <c r="AU178" s="123">
        <f t="shared" si="1"/>
        <v>0</v>
      </c>
      <c r="AV178" s="33" t="s">
        <v>318</v>
      </c>
      <c r="AW178" s="18"/>
      <c r="AX178" s="33" t="s">
        <v>319</v>
      </c>
      <c r="AY178" s="124"/>
      <c r="AZ178" s="125" t="s">
        <v>320</v>
      </c>
      <c r="BA178" s="130"/>
      <c r="BB178" s="33" t="s">
        <v>321</v>
      </c>
      <c r="BC178" s="131"/>
      <c r="BD178" s="35" t="s">
        <v>322</v>
      </c>
      <c r="BE178" s="123">
        <f t="shared" si="2"/>
        <v>0</v>
      </c>
      <c r="BF178" s="33" t="s">
        <v>323</v>
      </c>
      <c r="BG178" s="18"/>
      <c r="BH178" s="33" t="s">
        <v>324</v>
      </c>
      <c r="BI178" s="124"/>
      <c r="BJ178" s="125" t="s">
        <v>325</v>
      </c>
      <c r="BK178" s="132">
        <f>IF(ISBLANK(AND(AU178,BE178)),Q178*I178,IF(ISBLANK(BE178),Q178*I178-AU178,IF(NOT(ISBLANK(AND(AU178,BE178))),Q178*I178-AU178+BE178,Q178*I178-BE178)))</f>
        <v>0</v>
      </c>
      <c r="BL178" s="133" t="s">
        <v>326</v>
      </c>
      <c r="BM178" s="134"/>
      <c r="BN178" s="116" t="s">
        <v>327</v>
      </c>
      <c r="BO178" s="135"/>
      <c r="BP178" s="136" t="s">
        <v>51</v>
      </c>
      <c r="BR178" s="138"/>
      <c r="BS178" s="123">
        <f t="shared" si="4"/>
        <v>0</v>
      </c>
      <c r="BT178" s="139"/>
      <c r="BV178" s="140"/>
      <c r="BW178" s="141">
        <f t="shared" si="5"/>
        <v>0</v>
      </c>
      <c r="BX178" s="133" t="s">
        <v>328</v>
      </c>
      <c r="BY178" s="142"/>
      <c r="BZ178" s="38" t="s">
        <v>329</v>
      </c>
      <c r="CA178" s="143"/>
      <c r="CB178" s="144" t="s">
        <v>51</v>
      </c>
      <c r="CC178" s="19" t="str">
        <f t="shared" si="6"/>
        <v/>
      </c>
    </row>
    <row r="179" spans="1:83">
      <c r="A179" s="20" t="str">
        <f t="shared" si="7"/>
        <v/>
      </c>
      <c r="B179" s="23" t="s">
        <v>296</v>
      </c>
      <c r="C179" s="113"/>
      <c r="D179" s="114" t="s">
        <v>297</v>
      </c>
      <c r="E179" s="115"/>
      <c r="F179" s="116" t="s">
        <v>298</v>
      </c>
      <c r="G179" s="115"/>
      <c r="H179" s="116" t="s">
        <v>299</v>
      </c>
      <c r="I179" s="117"/>
      <c r="J179" s="118" t="s">
        <v>300</v>
      </c>
      <c r="K179" s="119"/>
      <c r="L179" s="120" t="s">
        <v>301</v>
      </c>
      <c r="M179" s="121"/>
      <c r="N179" s="116" t="s">
        <v>302</v>
      </c>
      <c r="O179" s="115"/>
      <c r="P179" s="116" t="s">
        <v>303</v>
      </c>
      <c r="Q179" s="122"/>
      <c r="R179" s="33" t="s">
        <v>42</v>
      </c>
      <c r="S179" s="123">
        <f t="shared" si="0"/>
        <v>0</v>
      </c>
      <c r="T179" s="116" t="s">
        <v>304</v>
      </c>
      <c r="U179" s="115"/>
      <c r="V179" s="116" t="s">
        <v>305</v>
      </c>
      <c r="W179" s="124"/>
      <c r="X179" s="125" t="s">
        <v>306</v>
      </c>
      <c r="Y179" s="126"/>
      <c r="Z179" s="127" t="s">
        <v>307</v>
      </c>
      <c r="AA179" s="115"/>
      <c r="AB179" s="116" t="s">
        <v>308</v>
      </c>
      <c r="AC179" s="115"/>
      <c r="AD179" s="116" t="s">
        <v>309</v>
      </c>
      <c r="AE179" s="115"/>
      <c r="AF179" s="116" t="s">
        <v>310</v>
      </c>
      <c r="AG179" s="115"/>
      <c r="AH179" s="116" t="s">
        <v>311</v>
      </c>
      <c r="AI179" s="115"/>
      <c r="AJ179" s="116" t="s">
        <v>312</v>
      </c>
      <c r="AK179" s="124"/>
      <c r="AL179" s="125" t="s">
        <v>313</v>
      </c>
      <c r="AM179" s="128"/>
      <c r="AN179" s="116" t="s">
        <v>314</v>
      </c>
      <c r="AO179" s="129"/>
      <c r="AP179" s="125" t="s">
        <v>315</v>
      </c>
      <c r="AQ179" s="130"/>
      <c r="AR179" s="33" t="s">
        <v>316</v>
      </c>
      <c r="AS179" s="131"/>
      <c r="AT179" s="35" t="s">
        <v>317</v>
      </c>
      <c r="AU179" s="123">
        <f t="shared" si="1"/>
        <v>0</v>
      </c>
      <c r="AV179" s="33" t="s">
        <v>318</v>
      </c>
      <c r="AW179" s="18"/>
      <c r="AX179" s="33" t="s">
        <v>319</v>
      </c>
      <c r="AY179" s="124"/>
      <c r="AZ179" s="125" t="s">
        <v>320</v>
      </c>
      <c r="BA179" s="130"/>
      <c r="BB179" s="33" t="s">
        <v>321</v>
      </c>
      <c r="BC179" s="131"/>
      <c r="BD179" s="35" t="s">
        <v>322</v>
      </c>
      <c r="BE179" s="123">
        <f t="shared" si="2"/>
        <v>0</v>
      </c>
      <c r="BF179" s="33" t="s">
        <v>323</v>
      </c>
      <c r="BG179" s="18"/>
      <c r="BH179" s="33" t="s">
        <v>324</v>
      </c>
      <c r="BI179" s="124"/>
      <c r="BJ179" s="125" t="s">
        <v>325</v>
      </c>
      <c r="BK179" s="132">
        <f t="shared" si="3"/>
        <v>0</v>
      </c>
      <c r="BL179" s="133" t="s">
        <v>326</v>
      </c>
      <c r="BM179" s="134"/>
      <c r="BN179" s="116" t="s">
        <v>327</v>
      </c>
      <c r="BO179" s="135"/>
      <c r="BP179" s="136" t="s">
        <v>51</v>
      </c>
      <c r="BR179" s="138"/>
      <c r="BS179" s="123">
        <f t="shared" si="4"/>
        <v>0</v>
      </c>
      <c r="BT179" s="139"/>
      <c r="BV179" s="140"/>
      <c r="BW179" s="141">
        <f t="shared" si="5"/>
        <v>0</v>
      </c>
      <c r="BX179" s="133" t="s">
        <v>328</v>
      </c>
      <c r="BY179" s="142"/>
      <c r="BZ179" s="38" t="s">
        <v>329</v>
      </c>
      <c r="CA179" s="143"/>
      <c r="CB179" s="144" t="s">
        <v>51</v>
      </c>
      <c r="CC179" s="19" t="str">
        <f t="shared" si="6"/>
        <v/>
      </c>
    </row>
    <row r="180" spans="1:83">
      <c r="A180" s="20" t="str">
        <f t="shared" si="7"/>
        <v/>
      </c>
      <c r="B180" s="23" t="s">
        <v>296</v>
      </c>
      <c r="C180" s="113"/>
      <c r="D180" s="114" t="s">
        <v>297</v>
      </c>
      <c r="E180" s="115"/>
      <c r="F180" s="116" t="s">
        <v>298</v>
      </c>
      <c r="G180" s="115"/>
      <c r="H180" s="116" t="s">
        <v>299</v>
      </c>
      <c r="I180" s="117"/>
      <c r="J180" s="118" t="s">
        <v>300</v>
      </c>
      <c r="K180" s="119"/>
      <c r="L180" s="120" t="s">
        <v>301</v>
      </c>
      <c r="M180" s="121"/>
      <c r="N180" s="116" t="s">
        <v>302</v>
      </c>
      <c r="O180" s="115"/>
      <c r="P180" s="116" t="s">
        <v>303</v>
      </c>
      <c r="Q180" s="122"/>
      <c r="R180" s="33" t="s">
        <v>42</v>
      </c>
      <c r="S180" s="123">
        <f t="shared" si="0"/>
        <v>0</v>
      </c>
      <c r="T180" s="116" t="s">
        <v>304</v>
      </c>
      <c r="U180" s="115"/>
      <c r="V180" s="116" t="s">
        <v>305</v>
      </c>
      <c r="W180" s="124"/>
      <c r="X180" s="125" t="s">
        <v>306</v>
      </c>
      <c r="Y180" s="126"/>
      <c r="Z180" s="127" t="s">
        <v>307</v>
      </c>
      <c r="AA180" s="115"/>
      <c r="AB180" s="116" t="s">
        <v>308</v>
      </c>
      <c r="AC180" s="115"/>
      <c r="AD180" s="116" t="s">
        <v>309</v>
      </c>
      <c r="AE180" s="115"/>
      <c r="AF180" s="116" t="s">
        <v>310</v>
      </c>
      <c r="AG180" s="115"/>
      <c r="AH180" s="116" t="s">
        <v>311</v>
      </c>
      <c r="AI180" s="115"/>
      <c r="AJ180" s="116" t="s">
        <v>312</v>
      </c>
      <c r="AK180" s="124"/>
      <c r="AL180" s="125" t="s">
        <v>313</v>
      </c>
      <c r="AM180" s="128"/>
      <c r="AN180" s="116" t="s">
        <v>314</v>
      </c>
      <c r="AO180" s="129"/>
      <c r="AP180" s="125" t="s">
        <v>315</v>
      </c>
      <c r="AQ180" s="130"/>
      <c r="AR180" s="33" t="s">
        <v>316</v>
      </c>
      <c r="AS180" s="131"/>
      <c r="AT180" s="35" t="s">
        <v>317</v>
      </c>
      <c r="AU180" s="123">
        <f t="shared" si="1"/>
        <v>0</v>
      </c>
      <c r="AV180" s="33" t="s">
        <v>318</v>
      </c>
      <c r="AW180" s="18"/>
      <c r="AX180" s="33" t="s">
        <v>319</v>
      </c>
      <c r="AY180" s="124"/>
      <c r="AZ180" s="125" t="s">
        <v>320</v>
      </c>
      <c r="BA180" s="130"/>
      <c r="BB180" s="33" t="s">
        <v>321</v>
      </c>
      <c r="BC180" s="131"/>
      <c r="BD180" s="35" t="s">
        <v>322</v>
      </c>
      <c r="BE180" s="123">
        <f t="shared" si="2"/>
        <v>0</v>
      </c>
      <c r="BF180" s="33" t="s">
        <v>323</v>
      </c>
      <c r="BG180" s="18"/>
      <c r="BH180" s="33" t="s">
        <v>324</v>
      </c>
      <c r="BI180" s="124"/>
      <c r="BJ180" s="125" t="s">
        <v>325</v>
      </c>
      <c r="BK180" s="132">
        <f t="shared" si="3"/>
        <v>0</v>
      </c>
      <c r="BL180" s="133" t="s">
        <v>326</v>
      </c>
      <c r="BM180" s="134"/>
      <c r="BN180" s="116" t="s">
        <v>327</v>
      </c>
      <c r="BO180" s="135"/>
      <c r="BP180" s="136" t="s">
        <v>51</v>
      </c>
      <c r="BR180" s="138"/>
      <c r="BS180" s="123">
        <f t="shared" si="4"/>
        <v>0</v>
      </c>
      <c r="BT180" s="139"/>
      <c r="BV180" s="140"/>
      <c r="BW180" s="141">
        <f t="shared" si="5"/>
        <v>0</v>
      </c>
      <c r="BX180" s="133" t="s">
        <v>328</v>
      </c>
      <c r="BY180" s="142"/>
      <c r="BZ180" s="38" t="s">
        <v>329</v>
      </c>
      <c r="CA180" s="143"/>
      <c r="CB180" s="144" t="s">
        <v>51</v>
      </c>
      <c r="CC180" s="19" t="str">
        <f t="shared" si="6"/>
        <v/>
      </c>
      <c r="CD180" s="29"/>
      <c r="CE180" s="10"/>
    </row>
    <row r="181" spans="1:83">
      <c r="A181" s="20" t="str">
        <f t="shared" si="7"/>
        <v/>
      </c>
      <c r="B181" s="23" t="s">
        <v>296</v>
      </c>
      <c r="C181" s="113"/>
      <c r="D181" s="114" t="s">
        <v>297</v>
      </c>
      <c r="E181" s="115"/>
      <c r="F181" s="116" t="s">
        <v>298</v>
      </c>
      <c r="G181" s="115"/>
      <c r="H181" s="116" t="s">
        <v>299</v>
      </c>
      <c r="I181" s="117"/>
      <c r="J181" s="118" t="s">
        <v>300</v>
      </c>
      <c r="K181" s="119"/>
      <c r="L181" s="120" t="s">
        <v>301</v>
      </c>
      <c r="M181" s="121"/>
      <c r="N181" s="116" t="s">
        <v>302</v>
      </c>
      <c r="O181" s="115"/>
      <c r="P181" s="116" t="s">
        <v>303</v>
      </c>
      <c r="Q181" s="122"/>
      <c r="R181" s="33" t="s">
        <v>42</v>
      </c>
      <c r="S181" s="123">
        <f t="shared" si="0"/>
        <v>0</v>
      </c>
      <c r="T181" s="116" t="s">
        <v>304</v>
      </c>
      <c r="U181" s="115"/>
      <c r="V181" s="116" t="s">
        <v>305</v>
      </c>
      <c r="W181" s="124"/>
      <c r="X181" s="125" t="s">
        <v>306</v>
      </c>
      <c r="Y181" s="126"/>
      <c r="Z181" s="127" t="s">
        <v>307</v>
      </c>
      <c r="AA181" s="115"/>
      <c r="AB181" s="116" t="s">
        <v>308</v>
      </c>
      <c r="AC181" s="115"/>
      <c r="AD181" s="116" t="s">
        <v>309</v>
      </c>
      <c r="AE181" s="115"/>
      <c r="AF181" s="116" t="s">
        <v>310</v>
      </c>
      <c r="AG181" s="115"/>
      <c r="AH181" s="116" t="s">
        <v>311</v>
      </c>
      <c r="AI181" s="115"/>
      <c r="AJ181" s="116" t="s">
        <v>312</v>
      </c>
      <c r="AK181" s="124"/>
      <c r="AL181" s="125" t="s">
        <v>313</v>
      </c>
      <c r="AM181" s="128"/>
      <c r="AN181" s="116" t="s">
        <v>314</v>
      </c>
      <c r="AO181" s="129"/>
      <c r="AP181" s="125" t="s">
        <v>315</v>
      </c>
      <c r="AQ181" s="130"/>
      <c r="AR181" s="33" t="s">
        <v>316</v>
      </c>
      <c r="AS181" s="131"/>
      <c r="AT181" s="35" t="s">
        <v>317</v>
      </c>
      <c r="AU181" s="123">
        <f t="shared" si="1"/>
        <v>0</v>
      </c>
      <c r="AV181" s="33" t="s">
        <v>318</v>
      </c>
      <c r="AW181" s="18"/>
      <c r="AX181" s="33" t="s">
        <v>319</v>
      </c>
      <c r="AY181" s="124"/>
      <c r="AZ181" s="125" t="s">
        <v>320</v>
      </c>
      <c r="BA181" s="130"/>
      <c r="BB181" s="33" t="s">
        <v>321</v>
      </c>
      <c r="BC181" s="131"/>
      <c r="BD181" s="35" t="s">
        <v>322</v>
      </c>
      <c r="BE181" s="123">
        <f t="shared" si="2"/>
        <v>0</v>
      </c>
      <c r="BF181" s="33" t="s">
        <v>323</v>
      </c>
      <c r="BG181" s="18"/>
      <c r="BH181" s="33" t="s">
        <v>324</v>
      </c>
      <c r="BI181" s="124"/>
      <c r="BJ181" s="125" t="s">
        <v>325</v>
      </c>
      <c r="BK181" s="132">
        <f t="shared" si="3"/>
        <v>0</v>
      </c>
      <c r="BL181" s="133" t="s">
        <v>326</v>
      </c>
      <c r="BM181" s="134"/>
      <c r="BN181" s="116" t="s">
        <v>327</v>
      </c>
      <c r="BO181" s="135"/>
      <c r="BP181" s="136" t="s">
        <v>51</v>
      </c>
      <c r="BR181" s="138"/>
      <c r="BS181" s="123">
        <f t="shared" si="4"/>
        <v>0</v>
      </c>
      <c r="BT181" s="139"/>
      <c r="BV181" s="140"/>
      <c r="BW181" s="141">
        <f t="shared" si="5"/>
        <v>0</v>
      </c>
      <c r="BX181" s="133" t="s">
        <v>328</v>
      </c>
      <c r="BY181" s="142"/>
      <c r="BZ181" s="38" t="s">
        <v>329</v>
      </c>
      <c r="CA181" s="143"/>
      <c r="CB181" s="144" t="s">
        <v>51</v>
      </c>
      <c r="CC181" s="19" t="str">
        <f t="shared" si="6"/>
        <v/>
      </c>
    </row>
    <row r="182" spans="1:83">
      <c r="A182" s="20" t="str">
        <f t="shared" si="7"/>
        <v/>
      </c>
      <c r="B182" s="23" t="s">
        <v>296</v>
      </c>
      <c r="C182" s="113"/>
      <c r="D182" s="114" t="s">
        <v>297</v>
      </c>
      <c r="E182" s="115"/>
      <c r="F182" s="116" t="s">
        <v>298</v>
      </c>
      <c r="G182" s="115"/>
      <c r="H182" s="116" t="s">
        <v>299</v>
      </c>
      <c r="I182" s="117"/>
      <c r="J182" s="118" t="s">
        <v>300</v>
      </c>
      <c r="K182" s="119"/>
      <c r="L182" s="120" t="s">
        <v>301</v>
      </c>
      <c r="M182" s="121"/>
      <c r="N182" s="116" t="s">
        <v>302</v>
      </c>
      <c r="O182" s="115"/>
      <c r="P182" s="116" t="s">
        <v>303</v>
      </c>
      <c r="Q182" s="122"/>
      <c r="R182" s="33" t="s">
        <v>42</v>
      </c>
      <c r="S182" s="123">
        <f t="shared" si="0"/>
        <v>0</v>
      </c>
      <c r="T182" s="116" t="s">
        <v>304</v>
      </c>
      <c r="U182" s="115"/>
      <c r="V182" s="116" t="s">
        <v>305</v>
      </c>
      <c r="W182" s="124"/>
      <c r="X182" s="125" t="s">
        <v>306</v>
      </c>
      <c r="Y182" s="126"/>
      <c r="Z182" s="127" t="s">
        <v>307</v>
      </c>
      <c r="AA182" s="115"/>
      <c r="AB182" s="116" t="s">
        <v>308</v>
      </c>
      <c r="AC182" s="115"/>
      <c r="AD182" s="116" t="s">
        <v>309</v>
      </c>
      <c r="AE182" s="115"/>
      <c r="AF182" s="116" t="s">
        <v>310</v>
      </c>
      <c r="AG182" s="115"/>
      <c r="AH182" s="116" t="s">
        <v>311</v>
      </c>
      <c r="AI182" s="115"/>
      <c r="AJ182" s="116" t="s">
        <v>312</v>
      </c>
      <c r="AK182" s="124"/>
      <c r="AL182" s="125" t="s">
        <v>313</v>
      </c>
      <c r="AM182" s="128"/>
      <c r="AN182" s="116" t="s">
        <v>314</v>
      </c>
      <c r="AO182" s="129"/>
      <c r="AP182" s="125" t="s">
        <v>315</v>
      </c>
      <c r="AQ182" s="130"/>
      <c r="AR182" s="33" t="s">
        <v>316</v>
      </c>
      <c r="AS182" s="131"/>
      <c r="AT182" s="35" t="s">
        <v>317</v>
      </c>
      <c r="AU182" s="123">
        <f t="shared" si="1"/>
        <v>0</v>
      </c>
      <c r="AV182" s="33" t="s">
        <v>318</v>
      </c>
      <c r="AW182" s="18"/>
      <c r="AX182" s="33" t="s">
        <v>319</v>
      </c>
      <c r="AY182" s="124"/>
      <c r="AZ182" s="125" t="s">
        <v>320</v>
      </c>
      <c r="BA182" s="130"/>
      <c r="BB182" s="33" t="s">
        <v>321</v>
      </c>
      <c r="BC182" s="131"/>
      <c r="BD182" s="35" t="s">
        <v>322</v>
      </c>
      <c r="BE182" s="123">
        <f t="shared" si="2"/>
        <v>0</v>
      </c>
      <c r="BF182" s="33" t="s">
        <v>323</v>
      </c>
      <c r="BG182" s="18"/>
      <c r="BH182" s="33" t="s">
        <v>324</v>
      </c>
      <c r="BI182" s="124"/>
      <c r="BJ182" s="125" t="s">
        <v>325</v>
      </c>
      <c r="BK182" s="132">
        <f t="shared" si="3"/>
        <v>0</v>
      </c>
      <c r="BL182" s="133" t="s">
        <v>326</v>
      </c>
      <c r="BM182" s="134"/>
      <c r="BN182" s="116" t="s">
        <v>327</v>
      </c>
      <c r="BO182" s="135"/>
      <c r="BP182" s="136" t="s">
        <v>51</v>
      </c>
      <c r="BR182" s="138"/>
      <c r="BS182" s="123">
        <f t="shared" si="4"/>
        <v>0</v>
      </c>
      <c r="BT182" s="139"/>
      <c r="BV182" s="140"/>
      <c r="BW182" s="141">
        <f t="shared" si="5"/>
        <v>0</v>
      </c>
      <c r="BX182" s="133" t="s">
        <v>328</v>
      </c>
      <c r="BY182" s="142"/>
      <c r="BZ182" s="38" t="s">
        <v>329</v>
      </c>
      <c r="CA182" s="143"/>
      <c r="CB182" s="144" t="s">
        <v>51</v>
      </c>
      <c r="CC182" s="19" t="str">
        <f t="shared" si="6"/>
        <v/>
      </c>
    </row>
    <row r="183" spans="1:83">
      <c r="A183" s="20" t="str">
        <f t="shared" si="7"/>
        <v/>
      </c>
      <c r="B183" s="23" t="s">
        <v>296</v>
      </c>
      <c r="C183" s="113"/>
      <c r="D183" s="114" t="s">
        <v>297</v>
      </c>
      <c r="E183" s="115"/>
      <c r="F183" s="116" t="s">
        <v>298</v>
      </c>
      <c r="G183" s="115"/>
      <c r="H183" s="116" t="s">
        <v>299</v>
      </c>
      <c r="I183" s="117"/>
      <c r="J183" s="118" t="s">
        <v>300</v>
      </c>
      <c r="K183" s="119"/>
      <c r="L183" s="120" t="s">
        <v>301</v>
      </c>
      <c r="M183" s="121"/>
      <c r="N183" s="116" t="s">
        <v>302</v>
      </c>
      <c r="O183" s="115"/>
      <c r="P183" s="116" t="s">
        <v>303</v>
      </c>
      <c r="Q183" s="122"/>
      <c r="R183" s="33" t="s">
        <v>42</v>
      </c>
      <c r="S183" s="123">
        <f t="shared" si="0"/>
        <v>0</v>
      </c>
      <c r="T183" s="116" t="s">
        <v>304</v>
      </c>
      <c r="U183" s="115"/>
      <c r="V183" s="116" t="s">
        <v>305</v>
      </c>
      <c r="W183" s="124"/>
      <c r="X183" s="125" t="s">
        <v>306</v>
      </c>
      <c r="Y183" s="126"/>
      <c r="Z183" s="127" t="s">
        <v>307</v>
      </c>
      <c r="AA183" s="115"/>
      <c r="AB183" s="116" t="s">
        <v>308</v>
      </c>
      <c r="AC183" s="115"/>
      <c r="AD183" s="116" t="s">
        <v>309</v>
      </c>
      <c r="AE183" s="115"/>
      <c r="AF183" s="116" t="s">
        <v>310</v>
      </c>
      <c r="AG183" s="115"/>
      <c r="AH183" s="116" t="s">
        <v>311</v>
      </c>
      <c r="AI183" s="115"/>
      <c r="AJ183" s="116" t="s">
        <v>312</v>
      </c>
      <c r="AK183" s="124"/>
      <c r="AL183" s="125" t="s">
        <v>313</v>
      </c>
      <c r="AM183" s="128"/>
      <c r="AN183" s="116" t="s">
        <v>314</v>
      </c>
      <c r="AO183" s="129"/>
      <c r="AP183" s="125" t="s">
        <v>315</v>
      </c>
      <c r="AQ183" s="130"/>
      <c r="AR183" s="33" t="s">
        <v>316</v>
      </c>
      <c r="AS183" s="131"/>
      <c r="AT183" s="35" t="s">
        <v>317</v>
      </c>
      <c r="AU183" s="123">
        <f t="shared" si="1"/>
        <v>0</v>
      </c>
      <c r="AV183" s="33" t="s">
        <v>318</v>
      </c>
      <c r="AW183" s="18"/>
      <c r="AX183" s="33" t="s">
        <v>319</v>
      </c>
      <c r="AY183" s="124"/>
      <c r="AZ183" s="125" t="s">
        <v>320</v>
      </c>
      <c r="BA183" s="130"/>
      <c r="BB183" s="33" t="s">
        <v>321</v>
      </c>
      <c r="BC183" s="131"/>
      <c r="BD183" s="35" t="s">
        <v>322</v>
      </c>
      <c r="BE183" s="123">
        <f t="shared" si="2"/>
        <v>0</v>
      </c>
      <c r="BF183" s="33" t="s">
        <v>323</v>
      </c>
      <c r="BG183" s="18"/>
      <c r="BH183" s="33" t="s">
        <v>324</v>
      </c>
      <c r="BI183" s="124"/>
      <c r="BJ183" s="125" t="s">
        <v>325</v>
      </c>
      <c r="BK183" s="132">
        <f t="shared" si="3"/>
        <v>0</v>
      </c>
      <c r="BL183" s="133" t="s">
        <v>326</v>
      </c>
      <c r="BM183" s="134"/>
      <c r="BN183" s="116" t="s">
        <v>327</v>
      </c>
      <c r="BO183" s="135"/>
      <c r="BP183" s="136" t="s">
        <v>51</v>
      </c>
      <c r="BR183" s="138"/>
      <c r="BS183" s="123">
        <f t="shared" si="4"/>
        <v>0</v>
      </c>
      <c r="BT183" s="139"/>
      <c r="BV183" s="140"/>
      <c r="BW183" s="141">
        <f t="shared" si="5"/>
        <v>0</v>
      </c>
      <c r="BX183" s="133" t="s">
        <v>328</v>
      </c>
      <c r="BY183" s="142"/>
      <c r="BZ183" s="38" t="s">
        <v>329</v>
      </c>
      <c r="CA183" s="143"/>
      <c r="CB183" s="144" t="s">
        <v>51</v>
      </c>
      <c r="CC183" s="19" t="str">
        <f t="shared" si="6"/>
        <v/>
      </c>
    </row>
    <row r="184" spans="1:83">
      <c r="A184" s="20" t="str">
        <f t="shared" si="7"/>
        <v/>
      </c>
      <c r="B184" s="23" t="s">
        <v>296</v>
      </c>
      <c r="C184" s="113"/>
      <c r="D184" s="114" t="s">
        <v>297</v>
      </c>
      <c r="E184" s="115"/>
      <c r="F184" s="116" t="s">
        <v>298</v>
      </c>
      <c r="G184" s="115"/>
      <c r="H184" s="116" t="s">
        <v>299</v>
      </c>
      <c r="I184" s="117"/>
      <c r="J184" s="118" t="s">
        <v>300</v>
      </c>
      <c r="K184" s="119"/>
      <c r="L184" s="120" t="s">
        <v>301</v>
      </c>
      <c r="M184" s="121"/>
      <c r="N184" s="116" t="s">
        <v>302</v>
      </c>
      <c r="O184" s="115"/>
      <c r="P184" s="116" t="s">
        <v>303</v>
      </c>
      <c r="Q184" s="122"/>
      <c r="R184" s="33" t="s">
        <v>42</v>
      </c>
      <c r="S184" s="123">
        <f t="shared" si="0"/>
        <v>0</v>
      </c>
      <c r="T184" s="116" t="s">
        <v>304</v>
      </c>
      <c r="U184" s="115"/>
      <c r="V184" s="116" t="s">
        <v>305</v>
      </c>
      <c r="W184" s="124"/>
      <c r="X184" s="125" t="s">
        <v>306</v>
      </c>
      <c r="Y184" s="126"/>
      <c r="Z184" s="127" t="s">
        <v>307</v>
      </c>
      <c r="AA184" s="115"/>
      <c r="AB184" s="116" t="s">
        <v>308</v>
      </c>
      <c r="AC184" s="115"/>
      <c r="AD184" s="116" t="s">
        <v>309</v>
      </c>
      <c r="AE184" s="115"/>
      <c r="AF184" s="116" t="s">
        <v>310</v>
      </c>
      <c r="AG184" s="115"/>
      <c r="AH184" s="116" t="s">
        <v>311</v>
      </c>
      <c r="AI184" s="115"/>
      <c r="AJ184" s="116" t="s">
        <v>312</v>
      </c>
      <c r="AK184" s="124"/>
      <c r="AL184" s="125" t="s">
        <v>313</v>
      </c>
      <c r="AM184" s="128"/>
      <c r="AN184" s="116" t="s">
        <v>314</v>
      </c>
      <c r="AO184" s="129"/>
      <c r="AP184" s="125" t="s">
        <v>315</v>
      </c>
      <c r="AQ184" s="130"/>
      <c r="AR184" s="33" t="s">
        <v>316</v>
      </c>
      <c r="AS184" s="131"/>
      <c r="AT184" s="35" t="s">
        <v>317</v>
      </c>
      <c r="AU184" s="123">
        <f t="shared" si="1"/>
        <v>0</v>
      </c>
      <c r="AV184" s="33" t="s">
        <v>318</v>
      </c>
      <c r="AW184" s="18"/>
      <c r="AX184" s="33" t="s">
        <v>319</v>
      </c>
      <c r="AY184" s="124"/>
      <c r="AZ184" s="125" t="s">
        <v>320</v>
      </c>
      <c r="BA184" s="130"/>
      <c r="BB184" s="33" t="s">
        <v>321</v>
      </c>
      <c r="BC184" s="131"/>
      <c r="BD184" s="35" t="s">
        <v>322</v>
      </c>
      <c r="BE184" s="123">
        <f t="shared" si="2"/>
        <v>0</v>
      </c>
      <c r="BF184" s="33" t="s">
        <v>323</v>
      </c>
      <c r="BG184" s="18"/>
      <c r="BH184" s="33" t="s">
        <v>324</v>
      </c>
      <c r="BI184" s="124"/>
      <c r="BJ184" s="125" t="s">
        <v>325</v>
      </c>
      <c r="BK184" s="132">
        <f t="shared" si="3"/>
        <v>0</v>
      </c>
      <c r="BL184" s="133" t="s">
        <v>326</v>
      </c>
      <c r="BM184" s="134"/>
      <c r="BN184" s="116" t="s">
        <v>327</v>
      </c>
      <c r="BO184" s="135"/>
      <c r="BP184" s="136" t="s">
        <v>51</v>
      </c>
      <c r="BR184" s="138"/>
      <c r="BS184" s="123">
        <f t="shared" si="4"/>
        <v>0</v>
      </c>
      <c r="BT184" s="139"/>
      <c r="BV184" s="140"/>
      <c r="BW184" s="141">
        <f t="shared" si="5"/>
        <v>0</v>
      </c>
      <c r="BX184" s="133" t="s">
        <v>328</v>
      </c>
      <c r="BY184" s="142"/>
      <c r="BZ184" s="38" t="s">
        <v>329</v>
      </c>
      <c r="CA184" s="143"/>
      <c r="CB184" s="144" t="s">
        <v>51</v>
      </c>
      <c r="CC184" s="19" t="str">
        <f t="shared" si="6"/>
        <v/>
      </c>
    </row>
    <row r="185" spans="1:83">
      <c r="A185" s="20" t="str">
        <f t="shared" si="7"/>
        <v/>
      </c>
      <c r="B185" s="23" t="s">
        <v>296</v>
      </c>
      <c r="C185" s="113"/>
      <c r="D185" s="114" t="s">
        <v>297</v>
      </c>
      <c r="E185" s="115"/>
      <c r="F185" s="116" t="s">
        <v>298</v>
      </c>
      <c r="G185" s="115"/>
      <c r="H185" s="116" t="s">
        <v>299</v>
      </c>
      <c r="I185" s="117"/>
      <c r="J185" s="118" t="s">
        <v>300</v>
      </c>
      <c r="K185" s="119"/>
      <c r="L185" s="120" t="s">
        <v>301</v>
      </c>
      <c r="M185" s="121"/>
      <c r="N185" s="116" t="s">
        <v>302</v>
      </c>
      <c r="O185" s="115"/>
      <c r="P185" s="116" t="s">
        <v>303</v>
      </c>
      <c r="Q185" s="122"/>
      <c r="R185" s="33" t="s">
        <v>42</v>
      </c>
      <c r="S185" s="123">
        <f t="shared" si="0"/>
        <v>0</v>
      </c>
      <c r="T185" s="116" t="s">
        <v>304</v>
      </c>
      <c r="U185" s="115"/>
      <c r="V185" s="116" t="s">
        <v>305</v>
      </c>
      <c r="W185" s="124"/>
      <c r="X185" s="125" t="s">
        <v>306</v>
      </c>
      <c r="Y185" s="126"/>
      <c r="Z185" s="127" t="s">
        <v>307</v>
      </c>
      <c r="AA185" s="115"/>
      <c r="AB185" s="116" t="s">
        <v>308</v>
      </c>
      <c r="AC185" s="115"/>
      <c r="AD185" s="116" t="s">
        <v>309</v>
      </c>
      <c r="AE185" s="115"/>
      <c r="AF185" s="116" t="s">
        <v>310</v>
      </c>
      <c r="AG185" s="115"/>
      <c r="AH185" s="116" t="s">
        <v>311</v>
      </c>
      <c r="AI185" s="115"/>
      <c r="AJ185" s="116" t="s">
        <v>312</v>
      </c>
      <c r="AK185" s="124"/>
      <c r="AL185" s="125" t="s">
        <v>313</v>
      </c>
      <c r="AM185" s="128"/>
      <c r="AN185" s="116" t="s">
        <v>314</v>
      </c>
      <c r="AO185" s="129"/>
      <c r="AP185" s="125" t="s">
        <v>315</v>
      </c>
      <c r="AQ185" s="130"/>
      <c r="AR185" s="33" t="s">
        <v>316</v>
      </c>
      <c r="AS185" s="131"/>
      <c r="AT185" s="35" t="s">
        <v>317</v>
      </c>
      <c r="AU185" s="123">
        <f t="shared" si="1"/>
        <v>0</v>
      </c>
      <c r="AV185" s="33" t="s">
        <v>318</v>
      </c>
      <c r="AW185" s="18"/>
      <c r="AX185" s="33" t="s">
        <v>319</v>
      </c>
      <c r="AY185" s="124"/>
      <c r="AZ185" s="125" t="s">
        <v>320</v>
      </c>
      <c r="BA185" s="130"/>
      <c r="BB185" s="33" t="s">
        <v>321</v>
      </c>
      <c r="BC185" s="131"/>
      <c r="BD185" s="35" t="s">
        <v>322</v>
      </c>
      <c r="BE185" s="123">
        <f t="shared" si="2"/>
        <v>0</v>
      </c>
      <c r="BF185" s="33" t="s">
        <v>323</v>
      </c>
      <c r="BG185" s="18"/>
      <c r="BH185" s="33" t="s">
        <v>324</v>
      </c>
      <c r="BI185" s="124"/>
      <c r="BJ185" s="125" t="s">
        <v>325</v>
      </c>
      <c r="BK185" s="132">
        <f t="shared" si="3"/>
        <v>0</v>
      </c>
      <c r="BL185" s="133" t="s">
        <v>326</v>
      </c>
      <c r="BM185" s="134"/>
      <c r="BN185" s="116" t="s">
        <v>327</v>
      </c>
      <c r="BO185" s="135"/>
      <c r="BP185" s="136" t="s">
        <v>51</v>
      </c>
      <c r="BR185" s="138"/>
      <c r="BS185" s="123">
        <f t="shared" si="4"/>
        <v>0</v>
      </c>
      <c r="BT185" s="139"/>
      <c r="BV185" s="140"/>
      <c r="BW185" s="141">
        <f t="shared" si="5"/>
        <v>0</v>
      </c>
      <c r="BX185" s="133" t="s">
        <v>328</v>
      </c>
      <c r="BY185" s="142"/>
      <c r="BZ185" s="38" t="s">
        <v>329</v>
      </c>
      <c r="CA185" s="143"/>
      <c r="CB185" s="144" t="s">
        <v>51</v>
      </c>
      <c r="CC185" s="19" t="str">
        <f t="shared" si="6"/>
        <v/>
      </c>
    </row>
    <row r="186" spans="1:83">
      <c r="A186" s="20" t="str">
        <f t="shared" si="7"/>
        <v/>
      </c>
      <c r="B186" s="23" t="s">
        <v>296</v>
      </c>
      <c r="C186" s="113"/>
      <c r="D186" s="114" t="s">
        <v>297</v>
      </c>
      <c r="E186" s="115"/>
      <c r="F186" s="116" t="s">
        <v>298</v>
      </c>
      <c r="G186" s="115"/>
      <c r="H186" s="116" t="s">
        <v>299</v>
      </c>
      <c r="I186" s="117"/>
      <c r="J186" s="118" t="s">
        <v>300</v>
      </c>
      <c r="K186" s="119"/>
      <c r="L186" s="120" t="s">
        <v>301</v>
      </c>
      <c r="M186" s="121"/>
      <c r="N186" s="116" t="s">
        <v>302</v>
      </c>
      <c r="O186" s="115"/>
      <c r="P186" s="116" t="s">
        <v>303</v>
      </c>
      <c r="Q186" s="122"/>
      <c r="R186" s="33" t="s">
        <v>42</v>
      </c>
      <c r="S186" s="123">
        <f t="shared" si="0"/>
        <v>0</v>
      </c>
      <c r="T186" s="116" t="s">
        <v>304</v>
      </c>
      <c r="U186" s="115"/>
      <c r="V186" s="116" t="s">
        <v>305</v>
      </c>
      <c r="W186" s="124"/>
      <c r="X186" s="125" t="s">
        <v>306</v>
      </c>
      <c r="Y186" s="126"/>
      <c r="Z186" s="127" t="s">
        <v>307</v>
      </c>
      <c r="AA186" s="115"/>
      <c r="AB186" s="116" t="s">
        <v>308</v>
      </c>
      <c r="AC186" s="115"/>
      <c r="AD186" s="116" t="s">
        <v>309</v>
      </c>
      <c r="AE186" s="115"/>
      <c r="AF186" s="116" t="s">
        <v>310</v>
      </c>
      <c r="AG186" s="115"/>
      <c r="AH186" s="116" t="s">
        <v>311</v>
      </c>
      <c r="AI186" s="115"/>
      <c r="AJ186" s="116" t="s">
        <v>312</v>
      </c>
      <c r="AK186" s="124"/>
      <c r="AL186" s="125" t="s">
        <v>313</v>
      </c>
      <c r="AM186" s="128"/>
      <c r="AN186" s="116" t="s">
        <v>314</v>
      </c>
      <c r="AO186" s="129"/>
      <c r="AP186" s="125" t="s">
        <v>315</v>
      </c>
      <c r="AQ186" s="130"/>
      <c r="AR186" s="33" t="s">
        <v>316</v>
      </c>
      <c r="AS186" s="131"/>
      <c r="AT186" s="35" t="s">
        <v>317</v>
      </c>
      <c r="AU186" s="123">
        <f t="shared" si="1"/>
        <v>0</v>
      </c>
      <c r="AV186" s="33" t="s">
        <v>318</v>
      </c>
      <c r="AW186" s="18"/>
      <c r="AX186" s="33" t="s">
        <v>319</v>
      </c>
      <c r="AY186" s="124"/>
      <c r="AZ186" s="125" t="s">
        <v>320</v>
      </c>
      <c r="BA186" s="130"/>
      <c r="BB186" s="33" t="s">
        <v>321</v>
      </c>
      <c r="BC186" s="131"/>
      <c r="BD186" s="35" t="s">
        <v>322</v>
      </c>
      <c r="BE186" s="123">
        <f t="shared" si="2"/>
        <v>0</v>
      </c>
      <c r="BF186" s="33" t="s">
        <v>323</v>
      </c>
      <c r="BG186" s="18"/>
      <c r="BH186" s="33" t="s">
        <v>324</v>
      </c>
      <c r="BI186" s="124"/>
      <c r="BJ186" s="125" t="s">
        <v>325</v>
      </c>
      <c r="BK186" s="132">
        <f t="shared" si="3"/>
        <v>0</v>
      </c>
      <c r="BL186" s="133" t="s">
        <v>326</v>
      </c>
      <c r="BM186" s="134"/>
      <c r="BN186" s="116" t="s">
        <v>327</v>
      </c>
      <c r="BO186" s="135"/>
      <c r="BP186" s="136" t="s">
        <v>51</v>
      </c>
      <c r="BR186" s="138"/>
      <c r="BS186" s="123">
        <f t="shared" si="4"/>
        <v>0</v>
      </c>
      <c r="BT186" s="139"/>
      <c r="BV186" s="140"/>
      <c r="BW186" s="141">
        <f t="shared" si="5"/>
        <v>0</v>
      </c>
      <c r="BX186" s="133" t="s">
        <v>328</v>
      </c>
      <c r="BY186" s="142"/>
      <c r="BZ186" s="38" t="s">
        <v>329</v>
      </c>
      <c r="CA186" s="143"/>
      <c r="CB186" s="144" t="s">
        <v>51</v>
      </c>
      <c r="CC186" s="19" t="str">
        <f t="shared" si="6"/>
        <v/>
      </c>
    </row>
    <row r="187" spans="1:83">
      <c r="A187" s="20" t="str">
        <f t="shared" si="7"/>
        <v/>
      </c>
      <c r="B187" s="23" t="s">
        <v>296</v>
      </c>
      <c r="C187" s="113"/>
      <c r="D187" s="114" t="s">
        <v>297</v>
      </c>
      <c r="E187" s="115"/>
      <c r="F187" s="116" t="s">
        <v>298</v>
      </c>
      <c r="G187" s="115"/>
      <c r="H187" s="116" t="s">
        <v>299</v>
      </c>
      <c r="I187" s="117"/>
      <c r="J187" s="118" t="s">
        <v>300</v>
      </c>
      <c r="K187" s="119"/>
      <c r="L187" s="120" t="s">
        <v>301</v>
      </c>
      <c r="M187" s="121"/>
      <c r="N187" s="116" t="s">
        <v>302</v>
      </c>
      <c r="O187" s="115"/>
      <c r="P187" s="116" t="s">
        <v>303</v>
      </c>
      <c r="Q187" s="122"/>
      <c r="R187" s="33" t="s">
        <v>42</v>
      </c>
      <c r="S187" s="123">
        <f t="shared" si="0"/>
        <v>0</v>
      </c>
      <c r="T187" s="116" t="s">
        <v>304</v>
      </c>
      <c r="U187" s="115"/>
      <c r="V187" s="116" t="s">
        <v>305</v>
      </c>
      <c r="W187" s="124"/>
      <c r="X187" s="125" t="s">
        <v>306</v>
      </c>
      <c r="Y187" s="126"/>
      <c r="Z187" s="127" t="s">
        <v>307</v>
      </c>
      <c r="AA187" s="115"/>
      <c r="AB187" s="116" t="s">
        <v>308</v>
      </c>
      <c r="AC187" s="115"/>
      <c r="AD187" s="116" t="s">
        <v>309</v>
      </c>
      <c r="AE187" s="115"/>
      <c r="AF187" s="116" t="s">
        <v>310</v>
      </c>
      <c r="AG187" s="115"/>
      <c r="AH187" s="116" t="s">
        <v>311</v>
      </c>
      <c r="AI187" s="115"/>
      <c r="AJ187" s="116" t="s">
        <v>312</v>
      </c>
      <c r="AK187" s="124"/>
      <c r="AL187" s="125" t="s">
        <v>313</v>
      </c>
      <c r="AM187" s="128"/>
      <c r="AN187" s="116" t="s">
        <v>314</v>
      </c>
      <c r="AO187" s="129"/>
      <c r="AP187" s="125" t="s">
        <v>315</v>
      </c>
      <c r="AQ187" s="130"/>
      <c r="AR187" s="33" t="s">
        <v>316</v>
      </c>
      <c r="AS187" s="131"/>
      <c r="AT187" s="35" t="s">
        <v>317</v>
      </c>
      <c r="AU187" s="123">
        <f t="shared" si="1"/>
        <v>0</v>
      </c>
      <c r="AV187" s="33" t="s">
        <v>318</v>
      </c>
      <c r="AW187" s="18"/>
      <c r="AX187" s="33" t="s">
        <v>319</v>
      </c>
      <c r="AY187" s="124"/>
      <c r="AZ187" s="125" t="s">
        <v>320</v>
      </c>
      <c r="BA187" s="130"/>
      <c r="BB187" s="33" t="s">
        <v>321</v>
      </c>
      <c r="BC187" s="131"/>
      <c r="BD187" s="35" t="s">
        <v>322</v>
      </c>
      <c r="BE187" s="123">
        <f t="shared" si="2"/>
        <v>0</v>
      </c>
      <c r="BF187" s="33" t="s">
        <v>323</v>
      </c>
      <c r="BG187" s="18"/>
      <c r="BH187" s="33" t="s">
        <v>324</v>
      </c>
      <c r="BI187" s="124"/>
      <c r="BJ187" s="125" t="s">
        <v>325</v>
      </c>
      <c r="BK187" s="132">
        <f t="shared" si="3"/>
        <v>0</v>
      </c>
      <c r="BL187" s="133" t="s">
        <v>326</v>
      </c>
      <c r="BM187" s="134"/>
      <c r="BN187" s="116" t="s">
        <v>327</v>
      </c>
      <c r="BO187" s="135"/>
      <c r="BP187" s="136" t="s">
        <v>51</v>
      </c>
      <c r="BR187" s="138"/>
      <c r="BS187" s="123">
        <f t="shared" si="4"/>
        <v>0</v>
      </c>
      <c r="BT187" s="139"/>
      <c r="BV187" s="140"/>
      <c r="BW187" s="141">
        <f t="shared" si="5"/>
        <v>0</v>
      </c>
      <c r="BX187" s="133" t="s">
        <v>328</v>
      </c>
      <c r="BY187" s="142"/>
      <c r="BZ187" s="38" t="s">
        <v>329</v>
      </c>
      <c r="CA187" s="143"/>
      <c r="CB187" s="144" t="s">
        <v>51</v>
      </c>
      <c r="CC187" s="19" t="str">
        <f t="shared" si="6"/>
        <v/>
      </c>
    </row>
    <row r="188" spans="1:83">
      <c r="A188" s="20" t="str">
        <f t="shared" si="7"/>
        <v/>
      </c>
      <c r="B188" s="23" t="s">
        <v>296</v>
      </c>
      <c r="C188" s="113"/>
      <c r="D188" s="114" t="s">
        <v>297</v>
      </c>
      <c r="E188" s="115"/>
      <c r="F188" s="116" t="s">
        <v>298</v>
      </c>
      <c r="G188" s="115"/>
      <c r="H188" s="116" t="s">
        <v>299</v>
      </c>
      <c r="I188" s="117"/>
      <c r="J188" s="118" t="s">
        <v>300</v>
      </c>
      <c r="K188" s="119"/>
      <c r="L188" s="120" t="s">
        <v>301</v>
      </c>
      <c r="M188" s="121"/>
      <c r="N188" s="116" t="s">
        <v>302</v>
      </c>
      <c r="O188" s="115"/>
      <c r="P188" s="116" t="s">
        <v>303</v>
      </c>
      <c r="Q188" s="122"/>
      <c r="R188" s="33" t="s">
        <v>42</v>
      </c>
      <c r="S188" s="123">
        <f t="shared" si="0"/>
        <v>0</v>
      </c>
      <c r="T188" s="116" t="s">
        <v>304</v>
      </c>
      <c r="U188" s="115"/>
      <c r="V188" s="116" t="s">
        <v>305</v>
      </c>
      <c r="W188" s="124"/>
      <c r="X188" s="125" t="s">
        <v>306</v>
      </c>
      <c r="Y188" s="126"/>
      <c r="Z188" s="127" t="s">
        <v>307</v>
      </c>
      <c r="AA188" s="115"/>
      <c r="AB188" s="116" t="s">
        <v>308</v>
      </c>
      <c r="AC188" s="115"/>
      <c r="AD188" s="116" t="s">
        <v>309</v>
      </c>
      <c r="AE188" s="115"/>
      <c r="AF188" s="116" t="s">
        <v>310</v>
      </c>
      <c r="AG188" s="115"/>
      <c r="AH188" s="116" t="s">
        <v>311</v>
      </c>
      <c r="AI188" s="115"/>
      <c r="AJ188" s="116" t="s">
        <v>312</v>
      </c>
      <c r="AK188" s="124"/>
      <c r="AL188" s="125" t="s">
        <v>313</v>
      </c>
      <c r="AM188" s="128"/>
      <c r="AN188" s="116" t="s">
        <v>314</v>
      </c>
      <c r="AO188" s="129"/>
      <c r="AP188" s="125" t="s">
        <v>315</v>
      </c>
      <c r="AQ188" s="130"/>
      <c r="AR188" s="33" t="s">
        <v>316</v>
      </c>
      <c r="AS188" s="131"/>
      <c r="AT188" s="35" t="s">
        <v>317</v>
      </c>
      <c r="AU188" s="123">
        <f t="shared" si="1"/>
        <v>0</v>
      </c>
      <c r="AV188" s="33" t="s">
        <v>318</v>
      </c>
      <c r="AW188" s="18"/>
      <c r="AX188" s="33" t="s">
        <v>319</v>
      </c>
      <c r="AY188" s="124"/>
      <c r="AZ188" s="125" t="s">
        <v>320</v>
      </c>
      <c r="BA188" s="130"/>
      <c r="BB188" s="33" t="s">
        <v>321</v>
      </c>
      <c r="BC188" s="131"/>
      <c r="BD188" s="35" t="s">
        <v>322</v>
      </c>
      <c r="BE188" s="123">
        <f t="shared" si="2"/>
        <v>0</v>
      </c>
      <c r="BF188" s="33" t="s">
        <v>323</v>
      </c>
      <c r="BG188" s="18"/>
      <c r="BH188" s="33" t="s">
        <v>324</v>
      </c>
      <c r="BI188" s="124"/>
      <c r="BJ188" s="125" t="s">
        <v>325</v>
      </c>
      <c r="BK188" s="132">
        <f t="shared" si="3"/>
        <v>0</v>
      </c>
      <c r="BL188" s="133" t="s">
        <v>326</v>
      </c>
      <c r="BM188" s="134"/>
      <c r="BN188" s="116" t="s">
        <v>327</v>
      </c>
      <c r="BO188" s="135"/>
      <c r="BP188" s="136" t="s">
        <v>51</v>
      </c>
      <c r="BR188" s="138"/>
      <c r="BS188" s="123">
        <f t="shared" si="4"/>
        <v>0</v>
      </c>
      <c r="BT188" s="139"/>
      <c r="BV188" s="140"/>
      <c r="BW188" s="141">
        <f t="shared" si="5"/>
        <v>0</v>
      </c>
      <c r="BX188" s="133" t="s">
        <v>328</v>
      </c>
      <c r="BY188" s="142"/>
      <c r="BZ188" s="38" t="s">
        <v>329</v>
      </c>
      <c r="CA188" s="143"/>
      <c r="CB188" s="144" t="s">
        <v>51</v>
      </c>
      <c r="CC188" s="19" t="str">
        <f t="shared" si="6"/>
        <v/>
      </c>
    </row>
    <row r="189" spans="1:83">
      <c r="A189" s="20" t="str">
        <f t="shared" si="7"/>
        <v/>
      </c>
      <c r="B189" s="23" t="s">
        <v>296</v>
      </c>
      <c r="C189" s="113"/>
      <c r="D189" s="114" t="s">
        <v>297</v>
      </c>
      <c r="E189" s="115"/>
      <c r="F189" s="116" t="s">
        <v>298</v>
      </c>
      <c r="G189" s="115"/>
      <c r="H189" s="116" t="s">
        <v>299</v>
      </c>
      <c r="I189" s="117"/>
      <c r="J189" s="118" t="s">
        <v>300</v>
      </c>
      <c r="K189" s="119"/>
      <c r="L189" s="120" t="s">
        <v>301</v>
      </c>
      <c r="M189" s="121"/>
      <c r="N189" s="116" t="s">
        <v>302</v>
      </c>
      <c r="O189" s="115"/>
      <c r="P189" s="116" t="s">
        <v>303</v>
      </c>
      <c r="Q189" s="122"/>
      <c r="R189" s="33" t="s">
        <v>42</v>
      </c>
      <c r="S189" s="123">
        <f t="shared" si="0"/>
        <v>0</v>
      </c>
      <c r="T189" s="116" t="s">
        <v>304</v>
      </c>
      <c r="U189" s="115"/>
      <c r="V189" s="116" t="s">
        <v>305</v>
      </c>
      <c r="W189" s="124"/>
      <c r="X189" s="125" t="s">
        <v>306</v>
      </c>
      <c r="Y189" s="126"/>
      <c r="Z189" s="127" t="s">
        <v>307</v>
      </c>
      <c r="AA189" s="115"/>
      <c r="AB189" s="116" t="s">
        <v>308</v>
      </c>
      <c r="AC189" s="115"/>
      <c r="AD189" s="116" t="s">
        <v>309</v>
      </c>
      <c r="AE189" s="115"/>
      <c r="AF189" s="116" t="s">
        <v>310</v>
      </c>
      <c r="AG189" s="115"/>
      <c r="AH189" s="116" t="s">
        <v>311</v>
      </c>
      <c r="AI189" s="115"/>
      <c r="AJ189" s="116" t="s">
        <v>312</v>
      </c>
      <c r="AK189" s="124"/>
      <c r="AL189" s="125" t="s">
        <v>313</v>
      </c>
      <c r="AM189" s="128"/>
      <c r="AN189" s="116" t="s">
        <v>314</v>
      </c>
      <c r="AO189" s="129"/>
      <c r="AP189" s="125" t="s">
        <v>315</v>
      </c>
      <c r="AQ189" s="130"/>
      <c r="AR189" s="33" t="s">
        <v>316</v>
      </c>
      <c r="AS189" s="131"/>
      <c r="AT189" s="35" t="s">
        <v>317</v>
      </c>
      <c r="AU189" s="123">
        <f t="shared" si="1"/>
        <v>0</v>
      </c>
      <c r="AV189" s="33" t="s">
        <v>318</v>
      </c>
      <c r="AW189" s="18"/>
      <c r="AX189" s="33" t="s">
        <v>319</v>
      </c>
      <c r="AY189" s="124"/>
      <c r="AZ189" s="125" t="s">
        <v>320</v>
      </c>
      <c r="BA189" s="130"/>
      <c r="BB189" s="33" t="s">
        <v>321</v>
      </c>
      <c r="BC189" s="131"/>
      <c r="BD189" s="35" t="s">
        <v>322</v>
      </c>
      <c r="BE189" s="123">
        <f t="shared" si="2"/>
        <v>0</v>
      </c>
      <c r="BF189" s="33" t="s">
        <v>323</v>
      </c>
      <c r="BG189" s="18"/>
      <c r="BH189" s="33" t="s">
        <v>324</v>
      </c>
      <c r="BI189" s="124"/>
      <c r="BJ189" s="125" t="s">
        <v>325</v>
      </c>
      <c r="BK189" s="132">
        <f t="shared" si="3"/>
        <v>0</v>
      </c>
      <c r="BL189" s="133" t="s">
        <v>326</v>
      </c>
      <c r="BM189" s="134"/>
      <c r="BN189" s="116" t="s">
        <v>327</v>
      </c>
      <c r="BO189" s="135"/>
      <c r="BP189" s="136" t="s">
        <v>51</v>
      </c>
      <c r="BR189" s="138"/>
      <c r="BS189" s="123">
        <f t="shared" si="4"/>
        <v>0</v>
      </c>
      <c r="BT189" s="139"/>
      <c r="BV189" s="140"/>
      <c r="BW189" s="141">
        <f t="shared" si="5"/>
        <v>0</v>
      </c>
      <c r="BX189" s="133" t="s">
        <v>328</v>
      </c>
      <c r="BY189" s="142"/>
      <c r="BZ189" s="38" t="s">
        <v>329</v>
      </c>
      <c r="CA189" s="143"/>
      <c r="CB189" s="144" t="s">
        <v>51</v>
      </c>
      <c r="CC189" s="19" t="str">
        <f t="shared" si="6"/>
        <v/>
      </c>
    </row>
    <row r="190" spans="1:83">
      <c r="A190" s="20" t="str">
        <f t="shared" si="7"/>
        <v/>
      </c>
      <c r="B190" s="23" t="s">
        <v>296</v>
      </c>
      <c r="C190" s="113"/>
      <c r="D190" s="114" t="s">
        <v>297</v>
      </c>
      <c r="E190" s="115"/>
      <c r="F190" s="116" t="s">
        <v>298</v>
      </c>
      <c r="G190" s="115"/>
      <c r="H190" s="116" t="s">
        <v>299</v>
      </c>
      <c r="I190" s="117"/>
      <c r="J190" s="118" t="s">
        <v>300</v>
      </c>
      <c r="K190" s="119"/>
      <c r="L190" s="120" t="s">
        <v>301</v>
      </c>
      <c r="M190" s="121"/>
      <c r="N190" s="116" t="s">
        <v>302</v>
      </c>
      <c r="O190" s="115"/>
      <c r="P190" s="116" t="s">
        <v>303</v>
      </c>
      <c r="Q190" s="122"/>
      <c r="R190" s="33" t="s">
        <v>42</v>
      </c>
      <c r="S190" s="123">
        <f t="shared" si="0"/>
        <v>0</v>
      </c>
      <c r="T190" s="116" t="s">
        <v>304</v>
      </c>
      <c r="U190" s="115"/>
      <c r="V190" s="116" t="s">
        <v>305</v>
      </c>
      <c r="W190" s="124"/>
      <c r="X190" s="125" t="s">
        <v>306</v>
      </c>
      <c r="Y190" s="126"/>
      <c r="Z190" s="127" t="s">
        <v>307</v>
      </c>
      <c r="AA190" s="115"/>
      <c r="AB190" s="116" t="s">
        <v>308</v>
      </c>
      <c r="AC190" s="115"/>
      <c r="AD190" s="116" t="s">
        <v>309</v>
      </c>
      <c r="AE190" s="115"/>
      <c r="AF190" s="116" t="s">
        <v>310</v>
      </c>
      <c r="AG190" s="115"/>
      <c r="AH190" s="116" t="s">
        <v>311</v>
      </c>
      <c r="AI190" s="115"/>
      <c r="AJ190" s="116" t="s">
        <v>312</v>
      </c>
      <c r="AK190" s="124"/>
      <c r="AL190" s="125" t="s">
        <v>313</v>
      </c>
      <c r="AM190" s="128"/>
      <c r="AN190" s="116" t="s">
        <v>314</v>
      </c>
      <c r="AO190" s="129"/>
      <c r="AP190" s="125" t="s">
        <v>315</v>
      </c>
      <c r="AQ190" s="130"/>
      <c r="AR190" s="33" t="s">
        <v>316</v>
      </c>
      <c r="AS190" s="131"/>
      <c r="AT190" s="35" t="s">
        <v>317</v>
      </c>
      <c r="AU190" s="123">
        <f t="shared" si="1"/>
        <v>0</v>
      </c>
      <c r="AV190" s="33" t="s">
        <v>318</v>
      </c>
      <c r="AW190" s="18"/>
      <c r="AX190" s="33" t="s">
        <v>319</v>
      </c>
      <c r="AY190" s="124"/>
      <c r="AZ190" s="125" t="s">
        <v>320</v>
      </c>
      <c r="BA190" s="130"/>
      <c r="BB190" s="33" t="s">
        <v>321</v>
      </c>
      <c r="BC190" s="131"/>
      <c r="BD190" s="35" t="s">
        <v>322</v>
      </c>
      <c r="BE190" s="123">
        <f t="shared" si="2"/>
        <v>0</v>
      </c>
      <c r="BF190" s="33" t="s">
        <v>323</v>
      </c>
      <c r="BG190" s="18"/>
      <c r="BH190" s="33" t="s">
        <v>324</v>
      </c>
      <c r="BI190" s="124"/>
      <c r="BJ190" s="125" t="s">
        <v>325</v>
      </c>
      <c r="BK190" s="132">
        <f t="shared" si="3"/>
        <v>0</v>
      </c>
      <c r="BL190" s="133" t="s">
        <v>326</v>
      </c>
      <c r="BM190" s="134"/>
      <c r="BN190" s="116" t="s">
        <v>327</v>
      </c>
      <c r="BO190" s="135"/>
      <c r="BP190" s="136" t="s">
        <v>51</v>
      </c>
      <c r="BR190" s="138"/>
      <c r="BS190" s="123">
        <f t="shared" si="4"/>
        <v>0</v>
      </c>
      <c r="BT190" s="139"/>
      <c r="BV190" s="140"/>
      <c r="BW190" s="141">
        <f t="shared" si="5"/>
        <v>0</v>
      </c>
      <c r="BX190" s="133" t="s">
        <v>328</v>
      </c>
      <c r="BY190" s="142"/>
      <c r="BZ190" s="38" t="s">
        <v>329</v>
      </c>
      <c r="CA190" s="143"/>
      <c r="CB190" s="144" t="s">
        <v>51</v>
      </c>
      <c r="CC190" s="19" t="str">
        <f t="shared" si="6"/>
        <v/>
      </c>
    </row>
    <row r="191" spans="1:83">
      <c r="A191" s="20" t="str">
        <f t="shared" si="7"/>
        <v/>
      </c>
      <c r="B191" s="23" t="s">
        <v>296</v>
      </c>
      <c r="C191" s="113"/>
      <c r="D191" s="114" t="s">
        <v>297</v>
      </c>
      <c r="E191" s="115"/>
      <c r="F191" s="116" t="s">
        <v>298</v>
      </c>
      <c r="G191" s="115"/>
      <c r="H191" s="116" t="s">
        <v>299</v>
      </c>
      <c r="I191" s="117"/>
      <c r="J191" s="118" t="s">
        <v>300</v>
      </c>
      <c r="K191" s="119"/>
      <c r="L191" s="120" t="s">
        <v>301</v>
      </c>
      <c r="M191" s="121"/>
      <c r="N191" s="116" t="s">
        <v>302</v>
      </c>
      <c r="O191" s="115"/>
      <c r="P191" s="116" t="s">
        <v>303</v>
      </c>
      <c r="Q191" s="122"/>
      <c r="R191" s="33" t="s">
        <v>42</v>
      </c>
      <c r="S191" s="123">
        <f t="shared" si="0"/>
        <v>0</v>
      </c>
      <c r="T191" s="116" t="s">
        <v>304</v>
      </c>
      <c r="U191" s="115"/>
      <c r="V191" s="116" t="s">
        <v>305</v>
      </c>
      <c r="W191" s="124"/>
      <c r="X191" s="125" t="s">
        <v>306</v>
      </c>
      <c r="Y191" s="126"/>
      <c r="Z191" s="127" t="s">
        <v>307</v>
      </c>
      <c r="AA191" s="115"/>
      <c r="AB191" s="116" t="s">
        <v>308</v>
      </c>
      <c r="AC191" s="115"/>
      <c r="AD191" s="116" t="s">
        <v>309</v>
      </c>
      <c r="AE191" s="115"/>
      <c r="AF191" s="116" t="s">
        <v>310</v>
      </c>
      <c r="AG191" s="115"/>
      <c r="AH191" s="116" t="s">
        <v>311</v>
      </c>
      <c r="AI191" s="115"/>
      <c r="AJ191" s="116" t="s">
        <v>312</v>
      </c>
      <c r="AK191" s="124"/>
      <c r="AL191" s="125" t="s">
        <v>313</v>
      </c>
      <c r="AM191" s="128"/>
      <c r="AN191" s="116" t="s">
        <v>314</v>
      </c>
      <c r="AO191" s="129"/>
      <c r="AP191" s="125" t="s">
        <v>315</v>
      </c>
      <c r="AQ191" s="130"/>
      <c r="AR191" s="33" t="s">
        <v>316</v>
      </c>
      <c r="AS191" s="131"/>
      <c r="AT191" s="35" t="s">
        <v>317</v>
      </c>
      <c r="AU191" s="123">
        <f t="shared" si="1"/>
        <v>0</v>
      </c>
      <c r="AV191" s="33" t="s">
        <v>318</v>
      </c>
      <c r="AW191" s="18"/>
      <c r="AX191" s="33" t="s">
        <v>319</v>
      </c>
      <c r="AY191" s="124"/>
      <c r="AZ191" s="125" t="s">
        <v>320</v>
      </c>
      <c r="BA191" s="130"/>
      <c r="BB191" s="33" t="s">
        <v>321</v>
      </c>
      <c r="BC191" s="131"/>
      <c r="BD191" s="35" t="s">
        <v>322</v>
      </c>
      <c r="BE191" s="123">
        <f t="shared" si="2"/>
        <v>0</v>
      </c>
      <c r="BF191" s="33" t="s">
        <v>323</v>
      </c>
      <c r="BG191" s="18"/>
      <c r="BH191" s="33" t="s">
        <v>324</v>
      </c>
      <c r="BI191" s="124"/>
      <c r="BJ191" s="125" t="s">
        <v>325</v>
      </c>
      <c r="BK191" s="132">
        <f t="shared" si="3"/>
        <v>0</v>
      </c>
      <c r="BL191" s="133" t="s">
        <v>326</v>
      </c>
      <c r="BM191" s="134"/>
      <c r="BN191" s="116" t="s">
        <v>327</v>
      </c>
      <c r="BO191" s="135"/>
      <c r="BP191" s="136" t="s">
        <v>51</v>
      </c>
      <c r="BR191" s="138"/>
      <c r="BS191" s="123">
        <f t="shared" si="4"/>
        <v>0</v>
      </c>
      <c r="BT191" s="139"/>
      <c r="BV191" s="140"/>
      <c r="BW191" s="141">
        <f t="shared" si="5"/>
        <v>0</v>
      </c>
      <c r="BX191" s="133" t="s">
        <v>328</v>
      </c>
      <c r="BY191" s="142"/>
      <c r="BZ191" s="38" t="s">
        <v>329</v>
      </c>
      <c r="CA191" s="143"/>
      <c r="CB191" s="144" t="s">
        <v>51</v>
      </c>
      <c r="CC191" s="19" t="str">
        <f t="shared" si="6"/>
        <v/>
      </c>
    </row>
    <row r="192" spans="1:83">
      <c r="A192" s="20" t="str">
        <f t="shared" si="7"/>
        <v/>
      </c>
      <c r="B192" s="23" t="s">
        <v>296</v>
      </c>
      <c r="C192" s="113"/>
      <c r="D192" s="114" t="s">
        <v>297</v>
      </c>
      <c r="E192" s="115"/>
      <c r="F192" s="116" t="s">
        <v>298</v>
      </c>
      <c r="G192" s="115"/>
      <c r="H192" s="116" t="s">
        <v>299</v>
      </c>
      <c r="I192" s="117"/>
      <c r="J192" s="118" t="s">
        <v>300</v>
      </c>
      <c r="K192" s="119"/>
      <c r="L192" s="120" t="s">
        <v>301</v>
      </c>
      <c r="M192" s="121"/>
      <c r="N192" s="116" t="s">
        <v>302</v>
      </c>
      <c r="O192" s="115"/>
      <c r="P192" s="116" t="s">
        <v>303</v>
      </c>
      <c r="Q192" s="122"/>
      <c r="R192" s="33" t="s">
        <v>42</v>
      </c>
      <c r="S192" s="123">
        <f t="shared" si="0"/>
        <v>0</v>
      </c>
      <c r="T192" s="116" t="s">
        <v>304</v>
      </c>
      <c r="U192" s="115"/>
      <c r="V192" s="116" t="s">
        <v>305</v>
      </c>
      <c r="W192" s="124"/>
      <c r="X192" s="125" t="s">
        <v>306</v>
      </c>
      <c r="Y192" s="126"/>
      <c r="Z192" s="127" t="s">
        <v>307</v>
      </c>
      <c r="AA192" s="115"/>
      <c r="AB192" s="116" t="s">
        <v>308</v>
      </c>
      <c r="AC192" s="115"/>
      <c r="AD192" s="116" t="s">
        <v>309</v>
      </c>
      <c r="AE192" s="115"/>
      <c r="AF192" s="116" t="s">
        <v>310</v>
      </c>
      <c r="AG192" s="115"/>
      <c r="AH192" s="116" t="s">
        <v>311</v>
      </c>
      <c r="AI192" s="115"/>
      <c r="AJ192" s="116" t="s">
        <v>312</v>
      </c>
      <c r="AK192" s="124"/>
      <c r="AL192" s="125" t="s">
        <v>313</v>
      </c>
      <c r="AM192" s="128"/>
      <c r="AN192" s="116" t="s">
        <v>314</v>
      </c>
      <c r="AO192" s="129"/>
      <c r="AP192" s="125" t="s">
        <v>315</v>
      </c>
      <c r="AQ192" s="130"/>
      <c r="AR192" s="33" t="s">
        <v>316</v>
      </c>
      <c r="AS192" s="131"/>
      <c r="AT192" s="35" t="s">
        <v>317</v>
      </c>
      <c r="AU192" s="123">
        <f t="shared" si="1"/>
        <v>0</v>
      </c>
      <c r="AV192" s="33" t="s">
        <v>318</v>
      </c>
      <c r="AW192" s="18"/>
      <c r="AX192" s="33" t="s">
        <v>319</v>
      </c>
      <c r="AY192" s="124"/>
      <c r="AZ192" s="125" t="s">
        <v>320</v>
      </c>
      <c r="BA192" s="130"/>
      <c r="BB192" s="33" t="s">
        <v>321</v>
      </c>
      <c r="BC192" s="131"/>
      <c r="BD192" s="35" t="s">
        <v>322</v>
      </c>
      <c r="BE192" s="123">
        <f t="shared" si="2"/>
        <v>0</v>
      </c>
      <c r="BF192" s="33" t="s">
        <v>323</v>
      </c>
      <c r="BG192" s="18"/>
      <c r="BH192" s="33" t="s">
        <v>324</v>
      </c>
      <c r="BI192" s="124"/>
      <c r="BJ192" s="125" t="s">
        <v>325</v>
      </c>
      <c r="BK192" s="132">
        <f t="shared" si="3"/>
        <v>0</v>
      </c>
      <c r="BL192" s="133" t="s">
        <v>326</v>
      </c>
      <c r="BM192" s="134"/>
      <c r="BN192" s="116" t="s">
        <v>327</v>
      </c>
      <c r="BO192" s="135"/>
      <c r="BP192" s="136" t="s">
        <v>51</v>
      </c>
      <c r="BR192" s="138"/>
      <c r="BS192" s="123">
        <f t="shared" si="4"/>
        <v>0</v>
      </c>
      <c r="BT192" s="139"/>
      <c r="BV192" s="140"/>
      <c r="BW192" s="141">
        <f t="shared" si="5"/>
        <v>0</v>
      </c>
      <c r="BX192" s="133" t="s">
        <v>328</v>
      </c>
      <c r="BY192" s="142"/>
      <c r="BZ192" s="38" t="s">
        <v>329</v>
      </c>
      <c r="CA192" s="143"/>
      <c r="CB192" s="144" t="s">
        <v>51</v>
      </c>
      <c r="CC192" s="19" t="str">
        <f t="shared" si="6"/>
        <v/>
      </c>
    </row>
    <row r="193" spans="1:87">
      <c r="A193" s="20" t="str">
        <f t="shared" si="7"/>
        <v/>
      </c>
      <c r="B193" s="23" t="s">
        <v>296</v>
      </c>
      <c r="C193" s="113"/>
      <c r="D193" s="114" t="s">
        <v>297</v>
      </c>
      <c r="E193" s="115"/>
      <c r="F193" s="116" t="s">
        <v>298</v>
      </c>
      <c r="G193" s="115"/>
      <c r="H193" s="116" t="s">
        <v>299</v>
      </c>
      <c r="I193" s="117"/>
      <c r="J193" s="118" t="s">
        <v>300</v>
      </c>
      <c r="K193" s="119"/>
      <c r="L193" s="120" t="s">
        <v>301</v>
      </c>
      <c r="M193" s="121"/>
      <c r="N193" s="116" t="s">
        <v>302</v>
      </c>
      <c r="O193" s="115"/>
      <c r="P193" s="116" t="s">
        <v>303</v>
      </c>
      <c r="Q193" s="122"/>
      <c r="R193" s="33" t="s">
        <v>42</v>
      </c>
      <c r="S193" s="123">
        <f t="shared" si="0"/>
        <v>0</v>
      </c>
      <c r="T193" s="116" t="s">
        <v>304</v>
      </c>
      <c r="U193" s="115"/>
      <c r="V193" s="116" t="s">
        <v>305</v>
      </c>
      <c r="W193" s="124"/>
      <c r="X193" s="125" t="s">
        <v>306</v>
      </c>
      <c r="Y193" s="126"/>
      <c r="Z193" s="127" t="s">
        <v>307</v>
      </c>
      <c r="AA193" s="115"/>
      <c r="AB193" s="116" t="s">
        <v>308</v>
      </c>
      <c r="AC193" s="115"/>
      <c r="AD193" s="116" t="s">
        <v>309</v>
      </c>
      <c r="AE193" s="115"/>
      <c r="AF193" s="116" t="s">
        <v>310</v>
      </c>
      <c r="AG193" s="115"/>
      <c r="AH193" s="116" t="s">
        <v>311</v>
      </c>
      <c r="AI193" s="115"/>
      <c r="AJ193" s="116" t="s">
        <v>312</v>
      </c>
      <c r="AK193" s="124"/>
      <c r="AL193" s="125" t="s">
        <v>313</v>
      </c>
      <c r="AM193" s="128"/>
      <c r="AN193" s="116" t="s">
        <v>314</v>
      </c>
      <c r="AO193" s="129"/>
      <c r="AP193" s="125" t="s">
        <v>315</v>
      </c>
      <c r="AQ193" s="130"/>
      <c r="AR193" s="33" t="s">
        <v>316</v>
      </c>
      <c r="AS193" s="131"/>
      <c r="AT193" s="35" t="s">
        <v>317</v>
      </c>
      <c r="AU193" s="123">
        <f t="shared" si="1"/>
        <v>0</v>
      </c>
      <c r="AV193" s="33" t="s">
        <v>318</v>
      </c>
      <c r="AW193" s="18"/>
      <c r="AX193" s="33" t="s">
        <v>319</v>
      </c>
      <c r="AY193" s="124"/>
      <c r="AZ193" s="125" t="s">
        <v>320</v>
      </c>
      <c r="BA193" s="130"/>
      <c r="BB193" s="33" t="s">
        <v>321</v>
      </c>
      <c r="BC193" s="131"/>
      <c r="BD193" s="35" t="s">
        <v>322</v>
      </c>
      <c r="BE193" s="123">
        <f t="shared" si="2"/>
        <v>0</v>
      </c>
      <c r="BF193" s="33" t="s">
        <v>323</v>
      </c>
      <c r="BG193" s="18"/>
      <c r="BH193" s="33" t="s">
        <v>324</v>
      </c>
      <c r="BI193" s="124"/>
      <c r="BJ193" s="125" t="s">
        <v>325</v>
      </c>
      <c r="BK193" s="132">
        <f t="shared" si="3"/>
        <v>0</v>
      </c>
      <c r="BL193" s="133" t="s">
        <v>326</v>
      </c>
      <c r="BM193" s="134"/>
      <c r="BN193" s="116" t="s">
        <v>327</v>
      </c>
      <c r="BO193" s="135"/>
      <c r="BP193" s="136" t="s">
        <v>51</v>
      </c>
      <c r="BR193" s="138"/>
      <c r="BS193" s="123">
        <f t="shared" si="4"/>
        <v>0</v>
      </c>
      <c r="BT193" s="139"/>
      <c r="BV193" s="140"/>
      <c r="BW193" s="141">
        <f t="shared" si="5"/>
        <v>0</v>
      </c>
      <c r="BX193" s="133" t="s">
        <v>328</v>
      </c>
      <c r="BY193" s="142"/>
      <c r="BZ193" s="38" t="s">
        <v>329</v>
      </c>
      <c r="CA193" s="143"/>
      <c r="CB193" s="144" t="s">
        <v>51</v>
      </c>
      <c r="CC193" s="19" t="str">
        <f t="shared" si="6"/>
        <v/>
      </c>
    </row>
    <row r="194" spans="1:87">
      <c r="A194" s="20" t="str">
        <f t="shared" si="7"/>
        <v/>
      </c>
      <c r="B194" s="23" t="s">
        <v>296</v>
      </c>
      <c r="C194" s="113"/>
      <c r="D194" s="114" t="s">
        <v>297</v>
      </c>
      <c r="E194" s="115"/>
      <c r="F194" s="116" t="s">
        <v>298</v>
      </c>
      <c r="G194" s="115"/>
      <c r="H194" s="116" t="s">
        <v>299</v>
      </c>
      <c r="I194" s="117"/>
      <c r="J194" s="118" t="s">
        <v>300</v>
      </c>
      <c r="K194" s="119"/>
      <c r="L194" s="120" t="s">
        <v>301</v>
      </c>
      <c r="M194" s="121"/>
      <c r="N194" s="116" t="s">
        <v>302</v>
      </c>
      <c r="O194" s="115"/>
      <c r="P194" s="116" t="s">
        <v>303</v>
      </c>
      <c r="Q194" s="122"/>
      <c r="R194" s="33" t="s">
        <v>42</v>
      </c>
      <c r="S194" s="123">
        <f t="shared" si="0"/>
        <v>0</v>
      </c>
      <c r="T194" s="116" t="s">
        <v>304</v>
      </c>
      <c r="U194" s="115"/>
      <c r="V194" s="116" t="s">
        <v>305</v>
      </c>
      <c r="W194" s="124"/>
      <c r="X194" s="125" t="s">
        <v>306</v>
      </c>
      <c r="Y194" s="126"/>
      <c r="Z194" s="127" t="s">
        <v>307</v>
      </c>
      <c r="AA194" s="115"/>
      <c r="AB194" s="116" t="s">
        <v>308</v>
      </c>
      <c r="AC194" s="115"/>
      <c r="AD194" s="116" t="s">
        <v>309</v>
      </c>
      <c r="AE194" s="115"/>
      <c r="AF194" s="116" t="s">
        <v>310</v>
      </c>
      <c r="AG194" s="115"/>
      <c r="AH194" s="116" t="s">
        <v>311</v>
      </c>
      <c r="AI194" s="115"/>
      <c r="AJ194" s="116" t="s">
        <v>312</v>
      </c>
      <c r="AK194" s="124"/>
      <c r="AL194" s="125" t="s">
        <v>313</v>
      </c>
      <c r="AM194" s="128"/>
      <c r="AN194" s="116" t="s">
        <v>314</v>
      </c>
      <c r="AO194" s="129"/>
      <c r="AP194" s="125" t="s">
        <v>315</v>
      </c>
      <c r="AQ194" s="130"/>
      <c r="AR194" s="33" t="s">
        <v>316</v>
      </c>
      <c r="AS194" s="131"/>
      <c r="AT194" s="35" t="s">
        <v>317</v>
      </c>
      <c r="AU194" s="123">
        <f t="shared" si="1"/>
        <v>0</v>
      </c>
      <c r="AV194" s="33" t="s">
        <v>318</v>
      </c>
      <c r="AW194" s="18"/>
      <c r="AX194" s="33" t="s">
        <v>319</v>
      </c>
      <c r="AY194" s="124"/>
      <c r="AZ194" s="125" t="s">
        <v>320</v>
      </c>
      <c r="BA194" s="130"/>
      <c r="BB194" s="33" t="s">
        <v>321</v>
      </c>
      <c r="BC194" s="131"/>
      <c r="BD194" s="35" t="s">
        <v>322</v>
      </c>
      <c r="BE194" s="123">
        <f t="shared" si="2"/>
        <v>0</v>
      </c>
      <c r="BF194" s="33" t="s">
        <v>323</v>
      </c>
      <c r="BG194" s="18"/>
      <c r="BH194" s="33" t="s">
        <v>324</v>
      </c>
      <c r="BI194" s="124"/>
      <c r="BJ194" s="125" t="s">
        <v>325</v>
      </c>
      <c r="BK194" s="132">
        <f t="shared" si="3"/>
        <v>0</v>
      </c>
      <c r="BL194" s="133" t="s">
        <v>326</v>
      </c>
      <c r="BM194" s="134"/>
      <c r="BN194" s="116" t="s">
        <v>327</v>
      </c>
      <c r="BO194" s="135"/>
      <c r="BP194" s="136" t="s">
        <v>51</v>
      </c>
      <c r="BR194" s="138"/>
      <c r="BS194" s="123">
        <f t="shared" si="4"/>
        <v>0</v>
      </c>
      <c r="BT194" s="139"/>
      <c r="BV194" s="140"/>
      <c r="BW194" s="141">
        <f t="shared" si="5"/>
        <v>0</v>
      </c>
      <c r="BX194" s="133" t="s">
        <v>328</v>
      </c>
      <c r="BY194" s="142"/>
      <c r="BZ194" s="38" t="s">
        <v>329</v>
      </c>
      <c r="CA194" s="143"/>
      <c r="CB194" s="144" t="s">
        <v>51</v>
      </c>
      <c r="CC194" s="19" t="str">
        <f t="shared" si="6"/>
        <v/>
      </c>
    </row>
    <row r="195" spans="1:87">
      <c r="A195" s="20" t="str">
        <f t="shared" si="7"/>
        <v/>
      </c>
      <c r="B195" s="23" t="s">
        <v>296</v>
      </c>
      <c r="C195" s="113"/>
      <c r="D195" s="114" t="s">
        <v>297</v>
      </c>
      <c r="E195" s="115"/>
      <c r="F195" s="116" t="s">
        <v>298</v>
      </c>
      <c r="G195" s="115"/>
      <c r="H195" s="116" t="s">
        <v>299</v>
      </c>
      <c r="I195" s="117"/>
      <c r="J195" s="118" t="s">
        <v>300</v>
      </c>
      <c r="K195" s="119"/>
      <c r="L195" s="120" t="s">
        <v>301</v>
      </c>
      <c r="M195" s="121"/>
      <c r="N195" s="116" t="s">
        <v>302</v>
      </c>
      <c r="O195" s="115"/>
      <c r="P195" s="116" t="s">
        <v>303</v>
      </c>
      <c r="Q195" s="122"/>
      <c r="R195" s="33" t="s">
        <v>42</v>
      </c>
      <c r="S195" s="123">
        <f t="shared" si="0"/>
        <v>0</v>
      </c>
      <c r="T195" s="116" t="s">
        <v>304</v>
      </c>
      <c r="U195" s="115"/>
      <c r="V195" s="116" t="s">
        <v>305</v>
      </c>
      <c r="W195" s="124"/>
      <c r="X195" s="125" t="s">
        <v>306</v>
      </c>
      <c r="Y195" s="126"/>
      <c r="Z195" s="127" t="s">
        <v>307</v>
      </c>
      <c r="AA195" s="115"/>
      <c r="AB195" s="116" t="s">
        <v>308</v>
      </c>
      <c r="AC195" s="115"/>
      <c r="AD195" s="116" t="s">
        <v>309</v>
      </c>
      <c r="AE195" s="115"/>
      <c r="AF195" s="116" t="s">
        <v>310</v>
      </c>
      <c r="AG195" s="115"/>
      <c r="AH195" s="116" t="s">
        <v>311</v>
      </c>
      <c r="AI195" s="115"/>
      <c r="AJ195" s="116" t="s">
        <v>312</v>
      </c>
      <c r="AK195" s="124"/>
      <c r="AL195" s="125" t="s">
        <v>313</v>
      </c>
      <c r="AM195" s="128"/>
      <c r="AN195" s="116" t="s">
        <v>314</v>
      </c>
      <c r="AO195" s="129"/>
      <c r="AP195" s="125" t="s">
        <v>315</v>
      </c>
      <c r="AQ195" s="130"/>
      <c r="AR195" s="33" t="s">
        <v>316</v>
      </c>
      <c r="AS195" s="131"/>
      <c r="AT195" s="35" t="s">
        <v>317</v>
      </c>
      <c r="AU195" s="123">
        <f t="shared" si="1"/>
        <v>0</v>
      </c>
      <c r="AV195" s="33" t="s">
        <v>318</v>
      </c>
      <c r="AW195" s="18"/>
      <c r="AX195" s="33" t="s">
        <v>319</v>
      </c>
      <c r="AY195" s="124"/>
      <c r="AZ195" s="125" t="s">
        <v>320</v>
      </c>
      <c r="BA195" s="130"/>
      <c r="BB195" s="33" t="s">
        <v>321</v>
      </c>
      <c r="BC195" s="131"/>
      <c r="BD195" s="35" t="s">
        <v>322</v>
      </c>
      <c r="BE195" s="123">
        <f t="shared" si="2"/>
        <v>0</v>
      </c>
      <c r="BF195" s="33" t="s">
        <v>323</v>
      </c>
      <c r="BG195" s="18"/>
      <c r="BH195" s="33" t="s">
        <v>324</v>
      </c>
      <c r="BI195" s="124"/>
      <c r="BJ195" s="125" t="s">
        <v>325</v>
      </c>
      <c r="BK195" s="132">
        <f t="shared" si="3"/>
        <v>0</v>
      </c>
      <c r="BL195" s="133" t="s">
        <v>326</v>
      </c>
      <c r="BM195" s="134"/>
      <c r="BN195" s="116" t="s">
        <v>327</v>
      </c>
      <c r="BO195" s="135"/>
      <c r="BP195" s="136" t="s">
        <v>51</v>
      </c>
      <c r="BR195" s="138"/>
      <c r="BS195" s="123">
        <f t="shared" si="4"/>
        <v>0</v>
      </c>
      <c r="BT195" s="139"/>
      <c r="BV195" s="140"/>
      <c r="BW195" s="141">
        <f t="shared" si="5"/>
        <v>0</v>
      </c>
      <c r="BX195" s="133" t="s">
        <v>328</v>
      </c>
      <c r="BY195" s="142"/>
      <c r="BZ195" s="38" t="s">
        <v>329</v>
      </c>
      <c r="CA195" s="143"/>
      <c r="CB195" s="144" t="s">
        <v>51</v>
      </c>
      <c r="CC195" s="19" t="str">
        <f t="shared" si="6"/>
        <v/>
      </c>
    </row>
    <row r="196" spans="1:87">
      <c r="A196" s="20" t="str">
        <f t="shared" si="7"/>
        <v/>
      </c>
      <c r="B196" s="23" t="s">
        <v>296</v>
      </c>
      <c r="C196" s="113"/>
      <c r="D196" s="114" t="s">
        <v>297</v>
      </c>
      <c r="E196" s="115"/>
      <c r="F196" s="116" t="s">
        <v>298</v>
      </c>
      <c r="G196" s="115"/>
      <c r="H196" s="116" t="s">
        <v>299</v>
      </c>
      <c r="I196" s="117"/>
      <c r="J196" s="118" t="s">
        <v>300</v>
      </c>
      <c r="K196" s="119"/>
      <c r="L196" s="120" t="s">
        <v>301</v>
      </c>
      <c r="M196" s="121"/>
      <c r="N196" s="116" t="s">
        <v>302</v>
      </c>
      <c r="O196" s="115"/>
      <c r="P196" s="116" t="s">
        <v>303</v>
      </c>
      <c r="Q196" s="122"/>
      <c r="R196" s="33" t="s">
        <v>42</v>
      </c>
      <c r="S196" s="123">
        <f t="shared" si="0"/>
        <v>0</v>
      </c>
      <c r="T196" s="116" t="s">
        <v>304</v>
      </c>
      <c r="U196" s="115"/>
      <c r="V196" s="116" t="s">
        <v>305</v>
      </c>
      <c r="W196" s="124"/>
      <c r="X196" s="125" t="s">
        <v>306</v>
      </c>
      <c r="Y196" s="126"/>
      <c r="Z196" s="127" t="s">
        <v>307</v>
      </c>
      <c r="AA196" s="115"/>
      <c r="AB196" s="116" t="s">
        <v>308</v>
      </c>
      <c r="AC196" s="115"/>
      <c r="AD196" s="116" t="s">
        <v>309</v>
      </c>
      <c r="AE196" s="115"/>
      <c r="AF196" s="116" t="s">
        <v>310</v>
      </c>
      <c r="AG196" s="115"/>
      <c r="AH196" s="116" t="s">
        <v>311</v>
      </c>
      <c r="AI196" s="115"/>
      <c r="AJ196" s="116" t="s">
        <v>312</v>
      </c>
      <c r="AK196" s="124"/>
      <c r="AL196" s="125" t="s">
        <v>313</v>
      </c>
      <c r="AM196" s="128"/>
      <c r="AN196" s="116" t="s">
        <v>314</v>
      </c>
      <c r="AO196" s="129"/>
      <c r="AP196" s="125" t="s">
        <v>315</v>
      </c>
      <c r="AQ196" s="130"/>
      <c r="AR196" s="33" t="s">
        <v>316</v>
      </c>
      <c r="AS196" s="131"/>
      <c r="AT196" s="35" t="s">
        <v>317</v>
      </c>
      <c r="AU196" s="123">
        <f t="shared" si="1"/>
        <v>0</v>
      </c>
      <c r="AV196" s="33" t="s">
        <v>318</v>
      </c>
      <c r="AW196" s="18"/>
      <c r="AX196" s="33" t="s">
        <v>319</v>
      </c>
      <c r="AY196" s="124"/>
      <c r="AZ196" s="125" t="s">
        <v>320</v>
      </c>
      <c r="BA196" s="130"/>
      <c r="BB196" s="33" t="s">
        <v>321</v>
      </c>
      <c r="BC196" s="131"/>
      <c r="BD196" s="35" t="s">
        <v>322</v>
      </c>
      <c r="BE196" s="123">
        <f t="shared" si="2"/>
        <v>0</v>
      </c>
      <c r="BF196" s="33" t="s">
        <v>323</v>
      </c>
      <c r="BG196" s="18"/>
      <c r="BH196" s="33" t="s">
        <v>324</v>
      </c>
      <c r="BI196" s="124"/>
      <c r="BJ196" s="125" t="s">
        <v>325</v>
      </c>
      <c r="BK196" s="132">
        <f t="shared" si="3"/>
        <v>0</v>
      </c>
      <c r="BL196" s="133" t="s">
        <v>326</v>
      </c>
      <c r="BM196" s="134"/>
      <c r="BN196" s="116" t="s">
        <v>327</v>
      </c>
      <c r="BO196" s="135"/>
      <c r="BP196" s="136" t="s">
        <v>51</v>
      </c>
      <c r="BR196" s="138"/>
      <c r="BS196" s="123">
        <f t="shared" si="4"/>
        <v>0</v>
      </c>
      <c r="BT196" s="139"/>
      <c r="BV196" s="140"/>
      <c r="BW196" s="141">
        <f t="shared" si="5"/>
        <v>0</v>
      </c>
      <c r="BX196" s="133" t="s">
        <v>328</v>
      </c>
      <c r="BY196" s="142"/>
      <c r="BZ196" s="38" t="s">
        <v>329</v>
      </c>
      <c r="CA196" s="143"/>
      <c r="CB196" s="144" t="s">
        <v>51</v>
      </c>
      <c r="CC196" s="19" t="str">
        <f t="shared" si="6"/>
        <v/>
      </c>
    </row>
    <row r="197" spans="1:87">
      <c r="A197" s="20" t="str">
        <f t="shared" si="7"/>
        <v/>
      </c>
      <c r="B197" s="23" t="s">
        <v>296</v>
      </c>
      <c r="C197" s="113"/>
      <c r="D197" s="114" t="s">
        <v>297</v>
      </c>
      <c r="E197" s="115"/>
      <c r="F197" s="116" t="s">
        <v>298</v>
      </c>
      <c r="G197" s="115"/>
      <c r="H197" s="116" t="s">
        <v>299</v>
      </c>
      <c r="I197" s="117"/>
      <c r="J197" s="118" t="s">
        <v>300</v>
      </c>
      <c r="K197" s="119"/>
      <c r="L197" s="120" t="s">
        <v>301</v>
      </c>
      <c r="M197" s="121"/>
      <c r="N197" s="116" t="s">
        <v>302</v>
      </c>
      <c r="O197" s="115"/>
      <c r="P197" s="116" t="s">
        <v>303</v>
      </c>
      <c r="Q197" s="122"/>
      <c r="R197" s="33" t="s">
        <v>42</v>
      </c>
      <c r="S197" s="123">
        <f t="shared" si="0"/>
        <v>0</v>
      </c>
      <c r="T197" s="116" t="s">
        <v>304</v>
      </c>
      <c r="U197" s="115"/>
      <c r="V197" s="116" t="s">
        <v>305</v>
      </c>
      <c r="W197" s="124"/>
      <c r="X197" s="125" t="s">
        <v>306</v>
      </c>
      <c r="Y197" s="126"/>
      <c r="Z197" s="127" t="s">
        <v>307</v>
      </c>
      <c r="AA197" s="115"/>
      <c r="AB197" s="116" t="s">
        <v>308</v>
      </c>
      <c r="AC197" s="115"/>
      <c r="AD197" s="116" t="s">
        <v>309</v>
      </c>
      <c r="AE197" s="115"/>
      <c r="AF197" s="116" t="s">
        <v>310</v>
      </c>
      <c r="AG197" s="115"/>
      <c r="AH197" s="116" t="s">
        <v>311</v>
      </c>
      <c r="AI197" s="115"/>
      <c r="AJ197" s="116" t="s">
        <v>312</v>
      </c>
      <c r="AK197" s="124"/>
      <c r="AL197" s="125" t="s">
        <v>313</v>
      </c>
      <c r="AM197" s="128"/>
      <c r="AN197" s="116" t="s">
        <v>314</v>
      </c>
      <c r="AO197" s="129"/>
      <c r="AP197" s="125" t="s">
        <v>315</v>
      </c>
      <c r="AQ197" s="130"/>
      <c r="AR197" s="33" t="s">
        <v>316</v>
      </c>
      <c r="AS197" s="131"/>
      <c r="AT197" s="35" t="s">
        <v>317</v>
      </c>
      <c r="AU197" s="123">
        <f t="shared" si="1"/>
        <v>0</v>
      </c>
      <c r="AV197" s="33" t="s">
        <v>318</v>
      </c>
      <c r="AW197" s="18"/>
      <c r="AX197" s="33" t="s">
        <v>319</v>
      </c>
      <c r="AY197" s="124"/>
      <c r="AZ197" s="125" t="s">
        <v>320</v>
      </c>
      <c r="BA197" s="130"/>
      <c r="BB197" s="33" t="s">
        <v>321</v>
      </c>
      <c r="BC197" s="131"/>
      <c r="BD197" s="35" t="s">
        <v>322</v>
      </c>
      <c r="BE197" s="123">
        <f t="shared" si="2"/>
        <v>0</v>
      </c>
      <c r="BF197" s="33" t="s">
        <v>323</v>
      </c>
      <c r="BG197" s="18"/>
      <c r="BH197" s="33" t="s">
        <v>324</v>
      </c>
      <c r="BI197" s="124"/>
      <c r="BJ197" s="125" t="s">
        <v>325</v>
      </c>
      <c r="BK197" s="132">
        <f t="shared" si="3"/>
        <v>0</v>
      </c>
      <c r="BL197" s="133" t="s">
        <v>326</v>
      </c>
      <c r="BM197" s="134"/>
      <c r="BN197" s="116" t="s">
        <v>327</v>
      </c>
      <c r="BO197" s="135"/>
      <c r="BP197" s="136" t="s">
        <v>51</v>
      </c>
      <c r="BR197" s="138"/>
      <c r="BS197" s="123">
        <f t="shared" si="4"/>
        <v>0</v>
      </c>
      <c r="BT197" s="139"/>
      <c r="BV197" s="140"/>
      <c r="BW197" s="141">
        <f t="shared" si="5"/>
        <v>0</v>
      </c>
      <c r="BX197" s="133" t="s">
        <v>328</v>
      </c>
      <c r="BY197" s="142"/>
      <c r="BZ197" s="38" t="s">
        <v>329</v>
      </c>
      <c r="CA197" s="143"/>
      <c r="CB197" s="144" t="s">
        <v>51</v>
      </c>
      <c r="CC197" s="19" t="str">
        <f t="shared" si="6"/>
        <v/>
      </c>
    </row>
    <row r="198" spans="1:87">
      <c r="A198" s="20" t="str">
        <f t="shared" si="7"/>
        <v/>
      </c>
      <c r="B198" s="23" t="s">
        <v>296</v>
      </c>
      <c r="C198" s="113"/>
      <c r="D198" s="114" t="s">
        <v>297</v>
      </c>
      <c r="E198" s="115"/>
      <c r="F198" s="116" t="s">
        <v>298</v>
      </c>
      <c r="G198" s="115"/>
      <c r="H198" s="116" t="s">
        <v>299</v>
      </c>
      <c r="I198" s="117"/>
      <c r="J198" s="118" t="s">
        <v>300</v>
      </c>
      <c r="K198" s="119"/>
      <c r="L198" s="120" t="s">
        <v>301</v>
      </c>
      <c r="M198" s="121"/>
      <c r="N198" s="116" t="s">
        <v>302</v>
      </c>
      <c r="O198" s="115"/>
      <c r="P198" s="116" t="s">
        <v>303</v>
      </c>
      <c r="Q198" s="122"/>
      <c r="R198" s="33" t="s">
        <v>42</v>
      </c>
      <c r="S198" s="123">
        <f t="shared" si="0"/>
        <v>0</v>
      </c>
      <c r="T198" s="116" t="s">
        <v>304</v>
      </c>
      <c r="U198" s="115"/>
      <c r="V198" s="116" t="s">
        <v>305</v>
      </c>
      <c r="W198" s="124"/>
      <c r="X198" s="125" t="s">
        <v>306</v>
      </c>
      <c r="Y198" s="126"/>
      <c r="Z198" s="127" t="s">
        <v>307</v>
      </c>
      <c r="AA198" s="115"/>
      <c r="AB198" s="116" t="s">
        <v>308</v>
      </c>
      <c r="AC198" s="115"/>
      <c r="AD198" s="116" t="s">
        <v>309</v>
      </c>
      <c r="AE198" s="115"/>
      <c r="AF198" s="116" t="s">
        <v>310</v>
      </c>
      <c r="AG198" s="115"/>
      <c r="AH198" s="116" t="s">
        <v>311</v>
      </c>
      <c r="AI198" s="115"/>
      <c r="AJ198" s="116" t="s">
        <v>312</v>
      </c>
      <c r="AK198" s="124"/>
      <c r="AL198" s="125" t="s">
        <v>313</v>
      </c>
      <c r="AM198" s="128"/>
      <c r="AN198" s="116" t="s">
        <v>314</v>
      </c>
      <c r="AO198" s="129"/>
      <c r="AP198" s="125" t="s">
        <v>315</v>
      </c>
      <c r="AQ198" s="130"/>
      <c r="AR198" s="33" t="s">
        <v>316</v>
      </c>
      <c r="AS198" s="131"/>
      <c r="AT198" s="35" t="s">
        <v>317</v>
      </c>
      <c r="AU198" s="123">
        <f t="shared" si="1"/>
        <v>0</v>
      </c>
      <c r="AV198" s="33" t="s">
        <v>318</v>
      </c>
      <c r="AW198" s="18"/>
      <c r="AX198" s="33" t="s">
        <v>319</v>
      </c>
      <c r="AY198" s="124"/>
      <c r="AZ198" s="125" t="s">
        <v>320</v>
      </c>
      <c r="BA198" s="130"/>
      <c r="BB198" s="33" t="s">
        <v>321</v>
      </c>
      <c r="BC198" s="131"/>
      <c r="BD198" s="35" t="s">
        <v>322</v>
      </c>
      <c r="BE198" s="123">
        <f t="shared" si="2"/>
        <v>0</v>
      </c>
      <c r="BF198" s="33" t="s">
        <v>323</v>
      </c>
      <c r="BG198" s="18"/>
      <c r="BH198" s="33" t="s">
        <v>324</v>
      </c>
      <c r="BI198" s="124"/>
      <c r="BJ198" s="125" t="s">
        <v>325</v>
      </c>
      <c r="BK198" s="132">
        <f t="shared" si="3"/>
        <v>0</v>
      </c>
      <c r="BL198" s="133" t="s">
        <v>326</v>
      </c>
      <c r="BM198" s="134"/>
      <c r="BN198" s="116" t="s">
        <v>327</v>
      </c>
      <c r="BO198" s="135"/>
      <c r="BP198" s="136" t="s">
        <v>51</v>
      </c>
      <c r="BR198" s="138"/>
      <c r="BS198" s="123">
        <f t="shared" si="4"/>
        <v>0</v>
      </c>
      <c r="BT198" s="139"/>
      <c r="BU198" s="145"/>
      <c r="BV198" s="140"/>
      <c r="BW198" s="141">
        <f t="shared" si="5"/>
        <v>0</v>
      </c>
      <c r="BX198" s="133" t="s">
        <v>328</v>
      </c>
      <c r="BY198" s="142"/>
      <c r="BZ198" s="38" t="s">
        <v>329</v>
      </c>
      <c r="CA198" s="143"/>
      <c r="CB198" s="144" t="s">
        <v>51</v>
      </c>
      <c r="CC198" s="19" t="str">
        <f t="shared" si="6"/>
        <v/>
      </c>
    </row>
    <row r="199" spans="1:87" s="10" customFormat="1" ht="12" thickBot="1">
      <c r="A199" s="9" t="str">
        <f t="shared" ref="A199" si="8">IF(ISBLANK(C199),"",CONCATENATE("&lt;Position ",ROW(C199)-2))</f>
        <v/>
      </c>
      <c r="B199" s="23"/>
      <c r="C199" s="2"/>
      <c r="D199" s="28"/>
      <c r="E199" s="2"/>
      <c r="F199" s="28"/>
      <c r="G199" s="2"/>
      <c r="H199" s="28"/>
      <c r="I199" s="2"/>
      <c r="J199" s="28"/>
      <c r="K199" s="2"/>
      <c r="L199" s="28"/>
      <c r="M199" s="2"/>
      <c r="N199" s="28"/>
      <c r="O199" s="2"/>
      <c r="P199" s="28"/>
      <c r="Q199" s="2"/>
      <c r="R199" s="28"/>
      <c r="S199" s="2"/>
      <c r="T199" s="28"/>
      <c r="U199" s="2"/>
      <c r="V199" s="28"/>
      <c r="W199" s="2"/>
      <c r="X199" s="28"/>
      <c r="Y199" s="6"/>
      <c r="Z199" s="30"/>
      <c r="AA199" s="2"/>
      <c r="AB199" s="28"/>
      <c r="AC199" s="2"/>
      <c r="AD199" s="28"/>
      <c r="AE199" s="5"/>
      <c r="AF199" s="31"/>
      <c r="AG199" s="5"/>
      <c r="AH199" s="31"/>
      <c r="AI199" s="5"/>
      <c r="AJ199" s="31"/>
      <c r="AK199" s="6"/>
      <c r="AL199" s="30"/>
      <c r="AM199" s="6"/>
      <c r="AN199" s="30"/>
      <c r="AO199" s="6"/>
      <c r="AP199" s="30"/>
      <c r="AQ199" s="7"/>
      <c r="AR199" s="32"/>
      <c r="AS199" s="6"/>
      <c r="AT199" s="30"/>
      <c r="AU199" s="2"/>
      <c r="AV199" s="28"/>
      <c r="AW199" s="2"/>
      <c r="AX199" s="28"/>
      <c r="AY199" s="2"/>
      <c r="AZ199" s="28"/>
      <c r="BA199" s="7"/>
      <c r="BB199" s="32"/>
      <c r="BC199" s="6"/>
      <c r="BD199" s="30"/>
      <c r="BE199" s="2"/>
      <c r="BF199" s="28"/>
      <c r="BG199" s="2"/>
      <c r="BH199" s="28"/>
      <c r="BI199" s="6"/>
      <c r="BJ199" s="30"/>
      <c r="BK199" s="2"/>
      <c r="BL199" s="28"/>
      <c r="BM199" s="7"/>
      <c r="BN199" s="32"/>
      <c r="BO199" s="6"/>
      <c r="BP199" s="30"/>
      <c r="BQ199" s="146"/>
      <c r="BR199" s="30"/>
      <c r="BS199" s="6"/>
      <c r="BT199" s="30"/>
      <c r="BU199" s="6"/>
      <c r="BV199" s="30"/>
      <c r="BW199" s="3"/>
      <c r="BX199" s="36"/>
      <c r="BY199" s="3"/>
      <c r="BZ199" s="36"/>
      <c r="CA199" s="2"/>
      <c r="CB199" s="28"/>
      <c r="CC199" s="2"/>
      <c r="CD199" s="28"/>
      <c r="CE199" s="2"/>
      <c r="CF199" s="2"/>
      <c r="CG199" s="2"/>
      <c r="CH199" s="2"/>
      <c r="CI199" s="2"/>
    </row>
    <row r="200" spans="1:87" s="203" customFormat="1" ht="16.5" thickBot="1">
      <c r="A200" s="17"/>
      <c r="B200" s="24"/>
      <c r="C200" s="220" t="s">
        <v>177</v>
      </c>
      <c r="D200" s="221"/>
      <c r="E200" s="221"/>
      <c r="F200" s="221"/>
      <c r="G200" s="221"/>
      <c r="H200" s="221"/>
      <c r="I200" s="221"/>
      <c r="J200" s="221"/>
      <c r="K200" s="221"/>
      <c r="L200" s="221"/>
      <c r="M200" s="221"/>
      <c r="N200" s="221"/>
      <c r="O200" s="221"/>
      <c r="P200" s="221"/>
      <c r="Q200" s="222"/>
      <c r="R200" s="202"/>
      <c r="T200" s="202"/>
      <c r="V200" s="204"/>
      <c r="W200" s="223" t="s">
        <v>178</v>
      </c>
      <c r="X200" s="223"/>
      <c r="Y200" s="223"/>
      <c r="Z200" s="223"/>
      <c r="AA200" s="223"/>
      <c r="AB200" s="223"/>
      <c r="AC200" s="223"/>
      <c r="AD200" s="223"/>
      <c r="AE200" s="223"/>
      <c r="AF200" s="223"/>
      <c r="AG200" s="223"/>
      <c r="AH200" s="223"/>
      <c r="AI200" s="223"/>
      <c r="AJ200" s="223"/>
      <c r="AK200" s="224"/>
      <c r="AL200" s="205"/>
      <c r="AM200" s="206"/>
      <c r="AN200" s="205"/>
      <c r="AO200" s="206"/>
      <c r="AP200" s="205"/>
      <c r="AQ200" s="207"/>
      <c r="AR200" s="208"/>
      <c r="AS200" s="206"/>
      <c r="AT200" s="205"/>
      <c r="AV200" s="202"/>
      <c r="AX200" s="202"/>
      <c r="AZ200" s="202"/>
      <c r="BA200" s="207"/>
      <c r="BB200" s="208"/>
      <c r="BC200" s="206"/>
      <c r="BD200" s="205"/>
      <c r="BF200" s="202"/>
      <c r="BH200" s="202"/>
      <c r="BJ200" s="204"/>
      <c r="BK200" s="225" t="s">
        <v>179</v>
      </c>
      <c r="BL200" s="225"/>
      <c r="BM200" s="225"/>
      <c r="BN200" s="225"/>
      <c r="BO200" s="225"/>
      <c r="BP200" s="225"/>
      <c r="BQ200" s="225"/>
      <c r="BR200" s="225"/>
      <c r="BS200" s="225"/>
      <c r="BT200" s="225"/>
      <c r="BU200" s="225"/>
      <c r="BV200" s="225"/>
      <c r="BW200" s="225"/>
      <c r="BX200" s="225"/>
      <c r="BY200" s="225"/>
      <c r="BZ200" s="225"/>
      <c r="CA200" s="225"/>
      <c r="CB200" s="225"/>
      <c r="CC200" s="226"/>
      <c r="CD200" s="202"/>
    </row>
    <row r="201" spans="1:87" ht="84" customHeight="1">
      <c r="A201" s="147"/>
      <c r="B201" s="148"/>
      <c r="C201" s="149" t="s">
        <v>330</v>
      </c>
      <c r="D201" s="150"/>
      <c r="E201" s="151" t="s">
        <v>36</v>
      </c>
      <c r="F201" s="152"/>
      <c r="G201" s="153" t="s">
        <v>55</v>
      </c>
      <c r="H201" s="154"/>
      <c r="I201" s="155" t="s">
        <v>40</v>
      </c>
      <c r="J201" s="156"/>
      <c r="K201" s="157" t="s">
        <v>37</v>
      </c>
      <c r="L201" s="154"/>
      <c r="M201" s="157" t="s">
        <v>43</v>
      </c>
      <c r="N201" s="154"/>
      <c r="O201" s="157" t="s">
        <v>38</v>
      </c>
      <c r="P201" s="154"/>
      <c r="Q201" s="157" t="s">
        <v>39</v>
      </c>
      <c r="R201" s="148"/>
      <c r="S201" s="158"/>
      <c r="T201" s="148"/>
      <c r="U201" s="158"/>
      <c r="V201" s="148"/>
      <c r="W201" s="149" t="s">
        <v>331</v>
      </c>
      <c r="X201" s="150"/>
      <c r="Y201" s="151" t="s">
        <v>54</v>
      </c>
      <c r="Z201" s="152"/>
      <c r="AA201" s="153" t="s">
        <v>56</v>
      </c>
      <c r="AB201" s="154"/>
      <c r="AC201" s="155" t="s">
        <v>57</v>
      </c>
      <c r="AD201" s="156"/>
      <c r="AE201" s="157" t="s">
        <v>58</v>
      </c>
      <c r="AF201" s="154"/>
      <c r="AG201" s="157" t="s">
        <v>44</v>
      </c>
      <c r="AH201" s="154"/>
      <c r="AI201" s="157" t="s">
        <v>59</v>
      </c>
      <c r="AJ201" s="154"/>
      <c r="AK201" s="157" t="s">
        <v>60</v>
      </c>
      <c r="AL201" s="148"/>
      <c r="AM201" s="158"/>
      <c r="AN201" s="148"/>
      <c r="AO201" s="158"/>
      <c r="AP201" s="148"/>
      <c r="AQ201" s="158"/>
      <c r="AR201" s="148"/>
      <c r="AS201" s="159"/>
      <c r="AT201" s="160"/>
      <c r="AU201" s="158"/>
      <c r="AV201" s="148"/>
      <c r="AW201" s="158"/>
      <c r="AX201" s="148"/>
      <c r="AY201" s="158"/>
      <c r="AZ201" s="148"/>
      <c r="BA201" s="161"/>
      <c r="BB201" s="162"/>
      <c r="BC201" s="159"/>
      <c r="BD201" s="160"/>
      <c r="BE201" s="158"/>
      <c r="BF201" s="148"/>
      <c r="BG201" s="158"/>
      <c r="BH201" s="148"/>
      <c r="BI201" s="158"/>
      <c r="BJ201" s="148"/>
      <c r="BK201" s="163" t="s">
        <v>30</v>
      </c>
      <c r="BL201" s="164"/>
      <c r="BM201" s="165" t="s">
        <v>61</v>
      </c>
      <c r="BN201" s="164"/>
      <c r="BO201" s="165" t="s">
        <v>62</v>
      </c>
      <c r="BP201" s="166"/>
      <c r="BQ201" s="167" t="s">
        <v>64</v>
      </c>
      <c r="BR201" s="166"/>
      <c r="BS201" s="168" t="s">
        <v>32</v>
      </c>
      <c r="BT201" s="169"/>
      <c r="BU201" s="170" t="s">
        <v>63</v>
      </c>
      <c r="BV201" s="171"/>
      <c r="BW201" s="172" t="s">
        <v>332</v>
      </c>
      <c r="BX201" s="173"/>
      <c r="BY201" s="174" t="s">
        <v>33</v>
      </c>
      <c r="BZ201" s="175"/>
      <c r="CA201" s="174" t="s">
        <v>34</v>
      </c>
      <c r="CB201" s="176"/>
      <c r="CC201" s="177" t="s">
        <v>35</v>
      </c>
      <c r="CD201" s="178"/>
      <c r="CE201" s="179"/>
      <c r="CF201" s="158"/>
      <c r="CG201" s="158"/>
      <c r="CH201" s="158"/>
      <c r="CI201" s="158"/>
    </row>
    <row r="202" spans="1:87" ht="13.5" thickBot="1">
      <c r="A202" s="17" t="s">
        <v>41</v>
      </c>
      <c r="B202" s="24" t="s">
        <v>333</v>
      </c>
      <c r="C202" s="18"/>
      <c r="D202" s="33" t="s">
        <v>334</v>
      </c>
      <c r="E202" s="131"/>
      <c r="F202" s="35" t="s">
        <v>335</v>
      </c>
      <c r="G202" s="123">
        <f>C202*E202</f>
        <v>0</v>
      </c>
      <c r="H202" s="180" t="s">
        <v>336</v>
      </c>
      <c r="I202" s="181"/>
      <c r="J202" s="116" t="s">
        <v>337</v>
      </c>
      <c r="K202" s="135"/>
      <c r="L202" s="35" t="s">
        <v>42</v>
      </c>
      <c r="M202" s="123">
        <f>K202*G202</f>
        <v>0</v>
      </c>
      <c r="N202" s="180" t="s">
        <v>338</v>
      </c>
      <c r="O202" s="115"/>
      <c r="P202" s="116" t="s">
        <v>339</v>
      </c>
      <c r="Q202" s="115"/>
      <c r="R202" s="28" t="s">
        <v>51</v>
      </c>
      <c r="S202" s="2"/>
      <c r="T202" s="28"/>
      <c r="U202" s="2"/>
      <c r="V202" s="28" t="s">
        <v>340</v>
      </c>
      <c r="W202" s="18"/>
      <c r="X202" s="33" t="s">
        <v>341</v>
      </c>
      <c r="Y202" s="131"/>
      <c r="Z202" s="35" t="s">
        <v>342</v>
      </c>
      <c r="AA202" s="123">
        <f>W202*Y202</f>
        <v>0</v>
      </c>
      <c r="AB202" s="180" t="s">
        <v>343</v>
      </c>
      <c r="AC202" s="181"/>
      <c r="AD202" s="116" t="s">
        <v>344</v>
      </c>
      <c r="AE202" s="135"/>
      <c r="AF202" s="35" t="s">
        <v>42</v>
      </c>
      <c r="AG202" s="123">
        <f>AA202*AE202</f>
        <v>0</v>
      </c>
      <c r="AH202" s="180" t="s">
        <v>345</v>
      </c>
      <c r="AI202" s="115"/>
      <c r="AJ202" s="116" t="s">
        <v>346</v>
      </c>
      <c r="AK202" s="115"/>
      <c r="AL202" s="28" t="s">
        <v>51</v>
      </c>
      <c r="AM202" s="2"/>
      <c r="AN202" s="28"/>
      <c r="AO202" s="2"/>
      <c r="AP202" s="28"/>
      <c r="AU202" s="2"/>
      <c r="AV202" s="28"/>
      <c r="AW202" s="2"/>
      <c r="AX202" s="28"/>
      <c r="AY202" s="2"/>
      <c r="AZ202" s="28"/>
      <c r="BE202" s="2"/>
      <c r="BF202" s="28"/>
      <c r="BG202" s="2"/>
      <c r="BH202" s="28"/>
      <c r="BI202" s="2"/>
      <c r="BJ202" s="28" t="s">
        <v>347</v>
      </c>
      <c r="BK202" s="182">
        <f>SUM(BK174:BK198)-G202+AA202</f>
        <v>0</v>
      </c>
      <c r="BL202" s="34" t="s">
        <v>348</v>
      </c>
      <c r="BM202" s="183">
        <f>G202</f>
        <v>0</v>
      </c>
      <c r="BN202" s="34" t="s">
        <v>349</v>
      </c>
      <c r="BO202" s="184">
        <f>AA202</f>
        <v>0</v>
      </c>
      <c r="BP202" s="27" t="s">
        <v>350</v>
      </c>
      <c r="BQ202" s="209">
        <f>BK202-BM202+BO202</f>
        <v>0</v>
      </c>
      <c r="BR202" s="27" t="s">
        <v>351</v>
      </c>
      <c r="BS202" s="185">
        <f>SUM(BS174:BS198)-M202+AG202</f>
        <v>0</v>
      </c>
      <c r="BT202" s="32" t="s">
        <v>352</v>
      </c>
      <c r="BU202" s="186"/>
      <c r="BV202" s="187" t="s">
        <v>353</v>
      </c>
      <c r="BW202" s="188">
        <f>BK202+BS202</f>
        <v>0</v>
      </c>
      <c r="BX202" s="189" t="s">
        <v>354</v>
      </c>
      <c r="BY202" s="186"/>
      <c r="BZ202" s="25" t="s">
        <v>355</v>
      </c>
      <c r="CA202" s="186"/>
      <c r="CB202" s="39" t="s">
        <v>356</v>
      </c>
      <c r="CC202" s="190">
        <f>BW202-BY202-CA202</f>
        <v>0</v>
      </c>
      <c r="CD202" s="28" t="s">
        <v>51</v>
      </c>
    </row>
    <row r="203" spans="1:87" s="10" customFormat="1" ht="69.95" customHeight="1" thickBot="1">
      <c r="A203" s="9"/>
      <c r="B203" s="23"/>
      <c r="C203" s="2"/>
      <c r="D203" s="28"/>
      <c r="E203" s="2"/>
      <c r="F203" s="28"/>
      <c r="G203" s="2"/>
      <c r="H203" s="28"/>
      <c r="I203" s="2"/>
      <c r="J203" s="28"/>
      <c r="K203" s="2"/>
      <c r="L203" s="28"/>
      <c r="M203" s="2"/>
      <c r="N203" s="28"/>
      <c r="O203" s="2"/>
      <c r="P203" s="28"/>
      <c r="Q203" s="2"/>
      <c r="R203" s="28"/>
      <c r="S203" s="2"/>
      <c r="T203" s="28"/>
      <c r="U203" s="2"/>
      <c r="V203" s="28"/>
      <c r="W203" s="2"/>
      <c r="X203" s="28"/>
      <c r="Y203" s="6"/>
      <c r="Z203" s="30"/>
      <c r="AA203" s="2"/>
      <c r="AB203" s="28"/>
      <c r="AC203" s="2"/>
      <c r="AD203" s="28"/>
      <c r="AE203" s="5"/>
      <c r="AF203" s="31"/>
      <c r="AG203" s="5"/>
      <c r="AH203" s="31"/>
      <c r="AI203" s="5"/>
      <c r="AJ203" s="31"/>
      <c r="AK203" s="6"/>
      <c r="AL203" s="30"/>
      <c r="AM203" s="6"/>
      <c r="AN203" s="30"/>
      <c r="AO203" s="6"/>
      <c r="AP203" s="30"/>
      <c r="AQ203" s="7"/>
      <c r="AR203" s="32"/>
      <c r="AS203" s="6"/>
      <c r="AT203" s="30"/>
      <c r="AU203" s="2"/>
      <c r="AV203" s="28"/>
      <c r="AW203" s="2"/>
      <c r="AX203" s="28"/>
      <c r="AY203" s="2"/>
      <c r="AZ203" s="28"/>
      <c r="BA203" s="7"/>
      <c r="BB203" s="32"/>
      <c r="BC203" s="6"/>
      <c r="BD203" s="30"/>
      <c r="BE203" s="2"/>
      <c r="BF203" s="28"/>
      <c r="BG203" s="2"/>
      <c r="BH203" s="28"/>
      <c r="BI203" s="6"/>
      <c r="BJ203" s="30"/>
      <c r="BK203" s="191"/>
      <c r="BL203" s="192"/>
      <c r="BM203" s="7"/>
      <c r="BN203" s="32"/>
      <c r="BO203" s="6"/>
      <c r="BP203" s="30"/>
      <c r="BQ203" s="6"/>
      <c r="BR203" s="28"/>
      <c r="BS203" s="2"/>
      <c r="BT203" s="193"/>
      <c r="BU203" s="194"/>
      <c r="BV203" s="195"/>
      <c r="BW203" s="6"/>
      <c r="BX203" s="30"/>
      <c r="BY203" s="6"/>
      <c r="BZ203" s="30"/>
      <c r="CA203" s="6"/>
      <c r="CB203" s="30"/>
      <c r="CC203" s="2"/>
      <c r="CD203" s="28"/>
      <c r="CE203" s="2"/>
      <c r="CF203" s="2"/>
      <c r="CG203" s="2"/>
      <c r="CH203" s="2"/>
      <c r="CI203" s="2"/>
    </row>
    <row r="204" spans="1:87" ht="15" customHeight="1" thickBot="1">
      <c r="A204" s="17"/>
      <c r="B204" s="24"/>
      <c r="C204" s="227" t="s">
        <v>180</v>
      </c>
      <c r="D204" s="228"/>
      <c r="E204" s="228"/>
      <c r="F204" s="228"/>
      <c r="G204" s="228"/>
      <c r="H204" s="228"/>
      <c r="I204" s="228"/>
      <c r="J204" s="228"/>
      <c r="K204" s="228"/>
      <c r="L204" s="228"/>
      <c r="M204" s="229"/>
      <c r="N204" s="202"/>
      <c r="O204" s="203"/>
      <c r="P204" s="202"/>
      <c r="Q204" s="203"/>
      <c r="R204" s="202"/>
      <c r="S204" s="203"/>
      <c r="T204" s="202"/>
      <c r="U204" s="203"/>
      <c r="V204" s="202"/>
      <c r="W204" s="203"/>
      <c r="X204" s="202"/>
      <c r="Y204" s="206"/>
      <c r="Z204" s="205"/>
      <c r="AA204" s="203"/>
      <c r="AB204" s="202"/>
      <c r="AC204" s="203"/>
      <c r="AD204" s="202"/>
      <c r="AE204" s="210"/>
      <c r="AF204" s="211"/>
      <c r="AG204" s="210"/>
      <c r="AH204" s="211"/>
      <c r="AI204" s="210"/>
      <c r="AJ204" s="211"/>
      <c r="AK204" s="206"/>
      <c r="AL204" s="205"/>
      <c r="AM204" s="206"/>
      <c r="AN204" s="205"/>
      <c r="AO204" s="206"/>
      <c r="AP204" s="205"/>
      <c r="AQ204" s="207"/>
      <c r="AR204" s="208"/>
      <c r="AS204" s="206"/>
      <c r="AT204" s="205"/>
      <c r="AU204" s="203"/>
      <c r="AV204" s="202"/>
      <c r="AW204" s="203"/>
      <c r="AX204" s="202"/>
      <c r="AY204" s="203"/>
      <c r="AZ204" s="202"/>
      <c r="BA204" s="207"/>
      <c r="BB204" s="208"/>
      <c r="BC204" s="206"/>
      <c r="BD204" s="205"/>
      <c r="BE204" s="203"/>
      <c r="BF204" s="202"/>
      <c r="BG204" s="203"/>
      <c r="BH204" s="202"/>
      <c r="BI204" s="206"/>
      <c r="BJ204" s="205"/>
      <c r="BK204" s="203"/>
      <c r="BL204" s="202"/>
      <c r="BM204" s="207"/>
      <c r="BN204" s="208"/>
      <c r="BO204" s="207"/>
      <c r="BP204" s="208"/>
      <c r="BQ204" s="207"/>
      <c r="BR204" s="202"/>
      <c r="BS204" s="203"/>
      <c r="BT204" s="212"/>
      <c r="BU204" s="213"/>
      <c r="BV204" s="212"/>
      <c r="BW204" s="213"/>
      <c r="BX204" s="202"/>
      <c r="BY204" s="203"/>
      <c r="BZ204" s="202"/>
      <c r="CA204" s="203"/>
      <c r="CB204" s="202"/>
      <c r="CC204" s="203"/>
      <c r="CD204" s="202"/>
      <c r="CE204" s="203"/>
      <c r="CF204" s="203"/>
      <c r="CG204" s="203"/>
      <c r="CH204" s="203"/>
      <c r="CI204" s="203"/>
    </row>
    <row r="205" spans="1:87" ht="76.5">
      <c r="A205" s="147"/>
      <c r="B205" s="148"/>
      <c r="C205" s="196" t="s">
        <v>27</v>
      </c>
      <c r="D205" s="154"/>
      <c r="E205" s="196" t="s">
        <v>26</v>
      </c>
      <c r="F205" s="154"/>
      <c r="G205" s="196" t="s">
        <v>28</v>
      </c>
      <c r="H205" s="154"/>
      <c r="I205" s="196" t="s">
        <v>29</v>
      </c>
      <c r="J205" s="154"/>
      <c r="K205" s="157" t="s">
        <v>357</v>
      </c>
      <c r="L205" s="154"/>
      <c r="M205" s="157" t="s">
        <v>358</v>
      </c>
      <c r="N205" s="148"/>
      <c r="O205" s="158"/>
      <c r="P205" s="148"/>
      <c r="Q205" s="158"/>
      <c r="R205" s="148"/>
      <c r="S205" s="158"/>
      <c r="T205" s="148"/>
      <c r="U205" s="158"/>
      <c r="V205" s="148"/>
      <c r="W205" s="158"/>
      <c r="X205" s="148"/>
      <c r="Y205" s="159"/>
      <c r="Z205" s="160"/>
      <c r="AA205" s="158"/>
      <c r="AB205" s="148"/>
      <c r="AC205" s="158"/>
      <c r="AD205" s="148"/>
      <c r="AE205" s="197"/>
      <c r="AF205" s="198"/>
      <c r="AG205" s="197"/>
      <c r="AH205" s="198"/>
      <c r="AI205" s="197"/>
      <c r="AJ205" s="198"/>
      <c r="AK205" s="159"/>
      <c r="AL205" s="160"/>
      <c r="AM205" s="159"/>
      <c r="AN205" s="160"/>
      <c r="AO205" s="159"/>
      <c r="AP205" s="160"/>
      <c r="AQ205" s="161"/>
      <c r="AR205" s="162"/>
      <c r="AS205" s="159"/>
      <c r="AT205" s="160"/>
      <c r="AU205" s="158"/>
      <c r="AV205" s="148"/>
      <c r="AW205" s="158"/>
      <c r="AX205" s="148"/>
      <c r="AY205" s="158"/>
      <c r="AZ205" s="148"/>
      <c r="BA205" s="161"/>
      <c r="BB205" s="162"/>
      <c r="BC205" s="159"/>
      <c r="BD205" s="160"/>
      <c r="BE205" s="158"/>
      <c r="BF205" s="148"/>
      <c r="BG205" s="158"/>
      <c r="BH205" s="148"/>
      <c r="BI205" s="159"/>
      <c r="BJ205" s="160"/>
      <c r="BK205" s="158"/>
      <c r="BL205" s="148"/>
      <c r="BM205" s="161"/>
      <c r="BN205" s="162"/>
      <c r="BO205" s="161"/>
      <c r="BP205" s="162"/>
      <c r="BQ205" s="161"/>
      <c r="BR205" s="162"/>
      <c r="BS205" s="159"/>
      <c r="BT205" s="160"/>
      <c r="BU205" s="159"/>
      <c r="BV205" s="160"/>
      <c r="BW205" s="199"/>
      <c r="BX205" s="200"/>
      <c r="BY205" s="199"/>
      <c r="BZ205" s="200"/>
      <c r="CA205" s="158"/>
      <c r="CB205" s="148"/>
      <c r="CC205" s="179"/>
      <c r="CD205" s="178"/>
      <c r="CE205" s="179"/>
      <c r="CF205" s="158"/>
      <c r="CG205" s="158"/>
      <c r="CH205" s="158"/>
      <c r="CI205" s="158"/>
    </row>
    <row r="206" spans="1:87">
      <c r="A206" s="20" t="str">
        <f>IF(ISBLANK(C206),"",_xlfn.CONCAT("&lt;VAT Breakdown ",ROW(C206)-35))</f>
        <v/>
      </c>
      <c r="B206" s="23" t="s">
        <v>359</v>
      </c>
      <c r="C206" s="122"/>
      <c r="D206" s="116" t="s">
        <v>360</v>
      </c>
      <c r="E206" s="113"/>
      <c r="F206" s="116" t="s">
        <v>361</v>
      </c>
      <c r="G206" s="201"/>
      <c r="H206" s="116" t="s">
        <v>362</v>
      </c>
      <c r="I206" s="214">
        <f>C206*G206</f>
        <v>0</v>
      </c>
      <c r="J206" s="116" t="s">
        <v>363</v>
      </c>
      <c r="K206" s="115"/>
      <c r="L206" s="116" t="s">
        <v>364</v>
      </c>
      <c r="M206" s="115"/>
      <c r="N206" s="28" t="s">
        <v>51</v>
      </c>
      <c r="O206" s="20" t="str">
        <f>IF(ISBLANK(C206),"","&gt;")</f>
        <v/>
      </c>
      <c r="P206" s="28"/>
      <c r="Q206" s="2"/>
      <c r="R206" s="28"/>
      <c r="S206" s="2"/>
      <c r="T206" s="28"/>
      <c r="U206" s="2"/>
      <c r="V206" s="28"/>
      <c r="W206" s="2"/>
      <c r="X206" s="28"/>
      <c r="AA206" s="2"/>
      <c r="AB206" s="28"/>
      <c r="AC206" s="2"/>
      <c r="AD206" s="28"/>
      <c r="AU206" s="2"/>
      <c r="AV206" s="28"/>
      <c r="AW206" s="2"/>
      <c r="AX206" s="28"/>
      <c r="AY206" s="2"/>
      <c r="AZ206" s="28"/>
      <c r="BE206" s="2"/>
      <c r="BF206" s="28"/>
      <c r="BG206" s="2"/>
      <c r="BH206" s="28"/>
      <c r="BK206" s="2"/>
      <c r="BL206" s="28"/>
      <c r="BV206" s="30"/>
    </row>
    <row r="207" spans="1:87">
      <c r="A207" s="20" t="str">
        <f t="shared" ref="A207:A230" si="9">IF(ISBLANK(C207),"",_xlfn.CONCAT("&lt;VAT Breakdown ",ROW(C207)-35))</f>
        <v/>
      </c>
      <c r="B207" s="23" t="s">
        <v>65</v>
      </c>
      <c r="C207" s="122"/>
      <c r="D207" s="116" t="s">
        <v>66</v>
      </c>
      <c r="E207" s="113"/>
      <c r="F207" s="116" t="s">
        <v>67</v>
      </c>
      <c r="G207" s="201"/>
      <c r="H207" s="116" t="s">
        <v>68</v>
      </c>
      <c r="I207" s="214">
        <f t="shared" ref="I207:I230" si="10">C207*G207</f>
        <v>0</v>
      </c>
      <c r="J207" s="116" t="s">
        <v>48</v>
      </c>
      <c r="K207" s="115"/>
      <c r="L207" s="116" t="s">
        <v>69</v>
      </c>
      <c r="M207" s="115"/>
      <c r="N207" s="28" t="s">
        <v>51</v>
      </c>
      <c r="O207" s="20"/>
      <c r="P207" s="28"/>
      <c r="Q207" s="2"/>
      <c r="R207" s="28"/>
      <c r="S207" s="2"/>
      <c r="T207" s="28"/>
      <c r="U207" s="2"/>
      <c r="V207" s="28"/>
      <c r="W207" s="2"/>
      <c r="X207" s="28"/>
      <c r="AA207" s="2"/>
      <c r="AB207" s="28"/>
      <c r="AC207" s="2"/>
      <c r="AD207" s="28"/>
      <c r="AU207" s="2"/>
      <c r="AV207" s="28"/>
      <c r="AW207" s="2"/>
      <c r="AX207" s="28"/>
      <c r="AY207" s="2"/>
      <c r="AZ207" s="28"/>
      <c r="BE207" s="2"/>
      <c r="BF207" s="28"/>
      <c r="BG207" s="2"/>
      <c r="BH207" s="28"/>
      <c r="BK207" s="2"/>
      <c r="BL207" s="28"/>
      <c r="BV207" s="30"/>
    </row>
    <row r="208" spans="1:87">
      <c r="A208" s="20" t="str">
        <f t="shared" si="9"/>
        <v/>
      </c>
      <c r="B208" s="23" t="s">
        <v>65</v>
      </c>
      <c r="C208" s="122"/>
      <c r="D208" s="116" t="s">
        <v>66</v>
      </c>
      <c r="E208" s="113"/>
      <c r="F208" s="116" t="s">
        <v>67</v>
      </c>
      <c r="G208" s="201"/>
      <c r="H208" s="116" t="s">
        <v>68</v>
      </c>
      <c r="I208" s="214">
        <f t="shared" si="10"/>
        <v>0</v>
      </c>
      <c r="J208" s="116" t="s">
        <v>48</v>
      </c>
      <c r="K208" s="115"/>
      <c r="L208" s="116" t="s">
        <v>69</v>
      </c>
      <c r="M208" s="115"/>
      <c r="N208" s="28" t="s">
        <v>51</v>
      </c>
      <c r="O208" s="20"/>
      <c r="P208" s="28"/>
      <c r="Q208" s="2"/>
      <c r="R208" s="28"/>
      <c r="S208" s="2"/>
      <c r="T208" s="28"/>
      <c r="U208" s="2"/>
      <c r="V208" s="28"/>
      <c r="W208" s="2"/>
      <c r="X208" s="28"/>
      <c r="AA208" s="2"/>
      <c r="AB208" s="28"/>
      <c r="AC208" s="2"/>
      <c r="AD208" s="28"/>
      <c r="AU208" s="2"/>
      <c r="AV208" s="28"/>
      <c r="AW208" s="2"/>
      <c r="AX208" s="28"/>
      <c r="AY208" s="2"/>
      <c r="AZ208" s="28"/>
      <c r="BE208" s="2"/>
      <c r="BF208" s="28"/>
      <c r="BG208" s="2"/>
      <c r="BH208" s="28"/>
      <c r="BK208" s="2"/>
      <c r="BL208" s="28"/>
      <c r="BV208" s="30"/>
    </row>
    <row r="209" spans="1:74">
      <c r="A209" s="20" t="str">
        <f t="shared" si="9"/>
        <v/>
      </c>
      <c r="B209" s="23" t="s">
        <v>65</v>
      </c>
      <c r="C209" s="122"/>
      <c r="D209" s="116" t="s">
        <v>66</v>
      </c>
      <c r="E209" s="113"/>
      <c r="F209" s="116" t="s">
        <v>67</v>
      </c>
      <c r="G209" s="201"/>
      <c r="H209" s="116" t="s">
        <v>68</v>
      </c>
      <c r="I209" s="214">
        <f t="shared" si="10"/>
        <v>0</v>
      </c>
      <c r="J209" s="116" t="s">
        <v>48</v>
      </c>
      <c r="K209" s="115"/>
      <c r="L209" s="116" t="s">
        <v>69</v>
      </c>
      <c r="M209" s="115"/>
      <c r="N209" s="28" t="s">
        <v>51</v>
      </c>
      <c r="O209" s="20"/>
      <c r="P209" s="28"/>
      <c r="Q209" s="2"/>
      <c r="R209" s="28"/>
      <c r="S209" s="2"/>
      <c r="T209" s="28"/>
      <c r="U209" s="2"/>
      <c r="V209" s="28"/>
      <c r="W209" s="2"/>
      <c r="X209" s="28"/>
      <c r="AA209" s="2"/>
      <c r="AB209" s="28"/>
      <c r="AC209" s="2"/>
      <c r="AD209" s="28"/>
      <c r="AU209" s="2"/>
      <c r="AV209" s="28"/>
      <c r="AW209" s="2"/>
      <c r="AX209" s="28"/>
      <c r="AY209" s="2"/>
      <c r="AZ209" s="28"/>
      <c r="BE209" s="2"/>
      <c r="BF209" s="28"/>
      <c r="BG209" s="2"/>
      <c r="BH209" s="28"/>
      <c r="BK209" s="2"/>
      <c r="BL209" s="28"/>
      <c r="BV209" s="30"/>
    </row>
    <row r="210" spans="1:74">
      <c r="A210" s="20" t="str">
        <f t="shared" si="9"/>
        <v/>
      </c>
      <c r="B210" s="23" t="s">
        <v>65</v>
      </c>
      <c r="C210" s="122"/>
      <c r="D210" s="116" t="s">
        <v>66</v>
      </c>
      <c r="E210" s="113"/>
      <c r="F210" s="116" t="s">
        <v>67</v>
      </c>
      <c r="G210" s="201"/>
      <c r="H210" s="116" t="s">
        <v>68</v>
      </c>
      <c r="I210" s="214">
        <f t="shared" si="10"/>
        <v>0</v>
      </c>
      <c r="J210" s="116" t="s">
        <v>48</v>
      </c>
      <c r="K210" s="115"/>
      <c r="L210" s="116" t="s">
        <v>69</v>
      </c>
      <c r="M210" s="115"/>
      <c r="N210" s="28" t="s">
        <v>51</v>
      </c>
      <c r="O210" s="20"/>
      <c r="P210" s="28"/>
      <c r="Q210" s="2"/>
      <c r="R210" s="28"/>
      <c r="S210" s="2"/>
      <c r="T210" s="28"/>
      <c r="U210" s="2"/>
      <c r="V210" s="28"/>
      <c r="W210" s="2"/>
      <c r="X210" s="28"/>
      <c r="AA210" s="2"/>
      <c r="AB210" s="28"/>
      <c r="AC210" s="2"/>
      <c r="AD210" s="28"/>
      <c r="AU210" s="2"/>
      <c r="AV210" s="28"/>
      <c r="AW210" s="2"/>
      <c r="AX210" s="28"/>
      <c r="AY210" s="2"/>
      <c r="AZ210" s="28"/>
      <c r="BE210" s="2"/>
      <c r="BF210" s="28"/>
      <c r="BG210" s="2"/>
      <c r="BH210" s="28"/>
      <c r="BK210" s="2"/>
      <c r="BL210" s="28"/>
      <c r="BV210" s="30"/>
    </row>
    <row r="211" spans="1:74">
      <c r="A211" s="20" t="str">
        <f t="shared" si="9"/>
        <v/>
      </c>
      <c r="B211" s="23" t="s">
        <v>65</v>
      </c>
      <c r="C211" s="122"/>
      <c r="D211" s="116" t="s">
        <v>66</v>
      </c>
      <c r="E211" s="113"/>
      <c r="F211" s="116" t="s">
        <v>67</v>
      </c>
      <c r="G211" s="201"/>
      <c r="H211" s="116" t="s">
        <v>68</v>
      </c>
      <c r="I211" s="214">
        <f t="shared" si="10"/>
        <v>0</v>
      </c>
      <c r="J211" s="116" t="s">
        <v>48</v>
      </c>
      <c r="K211" s="115"/>
      <c r="L211" s="116" t="s">
        <v>69</v>
      </c>
      <c r="M211" s="115"/>
      <c r="N211" s="28" t="s">
        <v>51</v>
      </c>
      <c r="O211" s="20"/>
      <c r="P211" s="28"/>
      <c r="Q211" s="2"/>
      <c r="R211" s="28"/>
      <c r="S211" s="2"/>
      <c r="T211" s="28"/>
      <c r="U211" s="2"/>
      <c r="V211" s="28"/>
      <c r="W211" s="2"/>
      <c r="X211" s="28"/>
      <c r="AA211" s="2"/>
      <c r="AB211" s="28"/>
      <c r="AC211" s="2"/>
      <c r="AD211" s="28"/>
      <c r="AU211" s="2"/>
      <c r="AV211" s="28"/>
      <c r="AW211" s="2"/>
      <c r="AX211" s="28"/>
      <c r="AY211" s="2"/>
      <c r="AZ211" s="28"/>
      <c r="BE211" s="2"/>
      <c r="BF211" s="28"/>
      <c r="BG211" s="2"/>
      <c r="BH211" s="28"/>
      <c r="BK211" s="2"/>
      <c r="BL211" s="28"/>
      <c r="BV211" s="30"/>
    </row>
    <row r="212" spans="1:74">
      <c r="A212" s="20" t="str">
        <f t="shared" si="9"/>
        <v/>
      </c>
      <c r="B212" s="23" t="s">
        <v>65</v>
      </c>
      <c r="C212" s="122"/>
      <c r="D212" s="116" t="s">
        <v>66</v>
      </c>
      <c r="E212" s="113"/>
      <c r="F212" s="116" t="s">
        <v>67</v>
      </c>
      <c r="G212" s="201"/>
      <c r="H212" s="116" t="s">
        <v>68</v>
      </c>
      <c r="I212" s="214">
        <f t="shared" si="10"/>
        <v>0</v>
      </c>
      <c r="J212" s="116" t="s">
        <v>48</v>
      </c>
      <c r="K212" s="115"/>
      <c r="L212" s="116" t="s">
        <v>69</v>
      </c>
      <c r="M212" s="115"/>
      <c r="N212" s="28" t="s">
        <v>51</v>
      </c>
      <c r="O212" s="20"/>
      <c r="P212" s="28"/>
      <c r="Q212" s="2"/>
      <c r="R212" s="28"/>
      <c r="S212" s="2"/>
      <c r="T212" s="28"/>
      <c r="U212" s="2"/>
      <c r="V212" s="28"/>
      <c r="W212" s="2"/>
      <c r="X212" s="28"/>
      <c r="AA212" s="2"/>
      <c r="AB212" s="28"/>
      <c r="AC212" s="2"/>
      <c r="AD212" s="28"/>
      <c r="AU212" s="2"/>
      <c r="AV212" s="28"/>
      <c r="AW212" s="2"/>
      <c r="AX212" s="28"/>
      <c r="AY212" s="2"/>
      <c r="AZ212" s="28"/>
      <c r="BE212" s="2"/>
      <c r="BF212" s="28"/>
      <c r="BG212" s="2"/>
      <c r="BH212" s="28"/>
      <c r="BK212" s="2"/>
      <c r="BL212" s="28"/>
      <c r="BV212" s="30"/>
    </row>
    <row r="213" spans="1:74">
      <c r="A213" s="20" t="str">
        <f t="shared" si="9"/>
        <v/>
      </c>
      <c r="B213" s="23" t="s">
        <v>65</v>
      </c>
      <c r="C213" s="122"/>
      <c r="D213" s="116" t="s">
        <v>66</v>
      </c>
      <c r="E213" s="113"/>
      <c r="F213" s="116" t="s">
        <v>67</v>
      </c>
      <c r="G213" s="201"/>
      <c r="H213" s="116" t="s">
        <v>68</v>
      </c>
      <c r="I213" s="214">
        <f t="shared" si="10"/>
        <v>0</v>
      </c>
      <c r="J213" s="116" t="s">
        <v>48</v>
      </c>
      <c r="K213" s="115"/>
      <c r="L213" s="116" t="s">
        <v>69</v>
      </c>
      <c r="M213" s="115"/>
      <c r="N213" s="28" t="s">
        <v>51</v>
      </c>
      <c r="O213" s="20"/>
      <c r="P213" s="28"/>
      <c r="Q213" s="2"/>
      <c r="R213" s="28"/>
      <c r="S213" s="2"/>
      <c r="T213" s="28"/>
      <c r="U213" s="2"/>
      <c r="V213" s="28"/>
      <c r="W213" s="2"/>
      <c r="X213" s="28"/>
      <c r="AA213" s="2"/>
      <c r="AB213" s="28"/>
      <c r="AC213" s="2"/>
      <c r="AD213" s="28"/>
      <c r="AU213" s="2"/>
      <c r="AV213" s="28"/>
      <c r="AW213" s="2"/>
      <c r="AX213" s="28"/>
      <c r="AY213" s="2"/>
      <c r="AZ213" s="28"/>
      <c r="BE213" s="2"/>
      <c r="BF213" s="28"/>
      <c r="BG213" s="2"/>
      <c r="BH213" s="28"/>
      <c r="BK213" s="2"/>
      <c r="BL213" s="28"/>
      <c r="BV213" s="30"/>
    </row>
    <row r="214" spans="1:74">
      <c r="A214" s="20" t="str">
        <f t="shared" si="9"/>
        <v/>
      </c>
      <c r="B214" s="23" t="s">
        <v>65</v>
      </c>
      <c r="C214" s="122"/>
      <c r="D214" s="116" t="s">
        <v>66</v>
      </c>
      <c r="E214" s="113"/>
      <c r="F214" s="116" t="s">
        <v>67</v>
      </c>
      <c r="G214" s="201"/>
      <c r="H214" s="116" t="s">
        <v>68</v>
      </c>
      <c r="I214" s="214">
        <f t="shared" si="10"/>
        <v>0</v>
      </c>
      <c r="J214" s="116" t="s">
        <v>48</v>
      </c>
      <c r="K214" s="115"/>
      <c r="L214" s="116" t="s">
        <v>69</v>
      </c>
      <c r="M214" s="115"/>
      <c r="N214" s="28" t="s">
        <v>51</v>
      </c>
      <c r="O214" s="20"/>
      <c r="P214" s="28"/>
      <c r="Q214" s="2"/>
      <c r="R214" s="28"/>
      <c r="S214" s="2"/>
      <c r="T214" s="28"/>
      <c r="U214" s="2"/>
      <c r="V214" s="28"/>
      <c r="W214" s="2"/>
      <c r="X214" s="28"/>
      <c r="AA214" s="2"/>
      <c r="AB214" s="28"/>
      <c r="AC214" s="2"/>
      <c r="AD214" s="28"/>
      <c r="AU214" s="2"/>
      <c r="AV214" s="28"/>
      <c r="AW214" s="2"/>
      <c r="AX214" s="28"/>
      <c r="AY214" s="2"/>
      <c r="AZ214" s="28"/>
      <c r="BE214" s="2"/>
      <c r="BF214" s="28"/>
      <c r="BG214" s="2"/>
      <c r="BH214" s="28"/>
      <c r="BK214" s="2"/>
      <c r="BL214" s="28"/>
      <c r="BV214" s="30"/>
    </row>
    <row r="215" spans="1:74">
      <c r="A215" s="20" t="str">
        <f t="shared" si="9"/>
        <v/>
      </c>
      <c r="B215" s="23" t="s">
        <v>65</v>
      </c>
      <c r="C215" s="122"/>
      <c r="D215" s="116" t="s">
        <v>66</v>
      </c>
      <c r="E215" s="113"/>
      <c r="F215" s="116" t="s">
        <v>67</v>
      </c>
      <c r="G215" s="201"/>
      <c r="H215" s="116" t="s">
        <v>68</v>
      </c>
      <c r="I215" s="214">
        <f t="shared" si="10"/>
        <v>0</v>
      </c>
      <c r="J215" s="116" t="s">
        <v>48</v>
      </c>
      <c r="K215" s="115"/>
      <c r="L215" s="116" t="s">
        <v>69</v>
      </c>
      <c r="M215" s="115"/>
      <c r="N215" s="28" t="s">
        <v>51</v>
      </c>
      <c r="O215" s="20"/>
      <c r="P215" s="28"/>
      <c r="Q215" s="2"/>
      <c r="R215" s="28"/>
      <c r="S215" s="2"/>
      <c r="T215" s="28"/>
      <c r="U215" s="2"/>
      <c r="V215" s="28"/>
      <c r="W215" s="2"/>
      <c r="X215" s="28"/>
      <c r="AA215" s="2"/>
      <c r="AB215" s="28"/>
      <c r="AC215" s="2"/>
      <c r="AD215" s="28"/>
      <c r="AU215" s="2"/>
      <c r="AV215" s="28"/>
      <c r="AW215" s="2"/>
      <c r="AX215" s="28"/>
      <c r="AY215" s="2"/>
      <c r="AZ215" s="28"/>
      <c r="BE215" s="2"/>
      <c r="BF215" s="28"/>
      <c r="BG215" s="2"/>
      <c r="BH215" s="28"/>
      <c r="BK215" s="2"/>
      <c r="BL215" s="28"/>
      <c r="BV215" s="30"/>
    </row>
    <row r="216" spans="1:74">
      <c r="A216" s="20" t="str">
        <f t="shared" si="9"/>
        <v/>
      </c>
      <c r="B216" s="23" t="s">
        <v>65</v>
      </c>
      <c r="C216" s="122"/>
      <c r="D216" s="116" t="s">
        <v>66</v>
      </c>
      <c r="E216" s="113"/>
      <c r="F216" s="116" t="s">
        <v>67</v>
      </c>
      <c r="G216" s="201"/>
      <c r="H216" s="116" t="s">
        <v>68</v>
      </c>
      <c r="I216" s="214">
        <f t="shared" si="10"/>
        <v>0</v>
      </c>
      <c r="J216" s="116" t="s">
        <v>48</v>
      </c>
      <c r="K216" s="115"/>
      <c r="L216" s="116" t="s">
        <v>69</v>
      </c>
      <c r="M216" s="115"/>
      <c r="N216" s="28" t="s">
        <v>51</v>
      </c>
      <c r="O216" s="20"/>
      <c r="P216" s="28"/>
      <c r="Q216" s="2"/>
      <c r="R216" s="28"/>
      <c r="S216" s="2"/>
      <c r="T216" s="28"/>
      <c r="U216" s="2"/>
      <c r="V216" s="28"/>
      <c r="W216" s="2"/>
      <c r="X216" s="28"/>
      <c r="AA216" s="2"/>
      <c r="AB216" s="28"/>
      <c r="AC216" s="2"/>
      <c r="AD216" s="28"/>
      <c r="AU216" s="2"/>
      <c r="AV216" s="28"/>
      <c r="AW216" s="2"/>
      <c r="AX216" s="28"/>
      <c r="AY216" s="2"/>
      <c r="AZ216" s="28"/>
      <c r="BE216" s="2"/>
      <c r="BF216" s="28"/>
      <c r="BG216" s="2"/>
      <c r="BH216" s="28"/>
      <c r="BK216" s="2"/>
      <c r="BL216" s="28"/>
      <c r="BV216" s="30"/>
    </row>
    <row r="217" spans="1:74">
      <c r="A217" s="20" t="str">
        <f t="shared" si="9"/>
        <v/>
      </c>
      <c r="B217" s="23" t="s">
        <v>65</v>
      </c>
      <c r="C217" s="122"/>
      <c r="D217" s="116" t="s">
        <v>66</v>
      </c>
      <c r="E217" s="113"/>
      <c r="F217" s="116" t="s">
        <v>67</v>
      </c>
      <c r="G217" s="201"/>
      <c r="H217" s="116" t="s">
        <v>68</v>
      </c>
      <c r="I217" s="214">
        <f t="shared" si="10"/>
        <v>0</v>
      </c>
      <c r="J217" s="116" t="s">
        <v>48</v>
      </c>
      <c r="K217" s="115"/>
      <c r="L217" s="116" t="s">
        <v>69</v>
      </c>
      <c r="M217" s="115"/>
      <c r="N217" s="28" t="s">
        <v>51</v>
      </c>
      <c r="O217" s="20"/>
      <c r="P217" s="28"/>
      <c r="Q217" s="2"/>
      <c r="R217" s="28"/>
      <c r="S217" s="2"/>
      <c r="T217" s="28"/>
      <c r="U217" s="2"/>
      <c r="V217" s="28"/>
      <c r="W217" s="2"/>
      <c r="X217" s="28"/>
      <c r="AA217" s="2"/>
      <c r="AB217" s="28"/>
      <c r="AC217" s="2"/>
      <c r="AD217" s="28"/>
      <c r="AU217" s="2"/>
      <c r="AV217" s="28"/>
      <c r="AW217" s="2"/>
      <c r="AX217" s="28"/>
      <c r="AY217" s="2"/>
      <c r="AZ217" s="28"/>
      <c r="BE217" s="2"/>
      <c r="BF217" s="28"/>
      <c r="BG217" s="2"/>
      <c r="BH217" s="28"/>
      <c r="BK217" s="2"/>
      <c r="BL217" s="28"/>
      <c r="BV217" s="30"/>
    </row>
    <row r="218" spans="1:74">
      <c r="A218" s="20" t="str">
        <f t="shared" si="9"/>
        <v/>
      </c>
      <c r="B218" s="23" t="s">
        <v>65</v>
      </c>
      <c r="C218" s="122"/>
      <c r="D218" s="116" t="s">
        <v>66</v>
      </c>
      <c r="E218" s="113"/>
      <c r="F218" s="116" t="s">
        <v>67</v>
      </c>
      <c r="G218" s="201"/>
      <c r="H218" s="116" t="s">
        <v>68</v>
      </c>
      <c r="I218" s="214">
        <f t="shared" si="10"/>
        <v>0</v>
      </c>
      <c r="J218" s="116" t="s">
        <v>48</v>
      </c>
      <c r="K218" s="115"/>
      <c r="L218" s="116" t="s">
        <v>69</v>
      </c>
      <c r="M218" s="115"/>
      <c r="N218" s="28" t="s">
        <v>51</v>
      </c>
      <c r="O218" s="20"/>
      <c r="P218" s="28"/>
      <c r="Q218" s="2"/>
      <c r="R218" s="28"/>
      <c r="S218" s="2"/>
      <c r="T218" s="28"/>
      <c r="U218" s="2"/>
      <c r="V218" s="28"/>
      <c r="W218" s="2"/>
      <c r="X218" s="28"/>
      <c r="AA218" s="2"/>
      <c r="AB218" s="28"/>
      <c r="AC218" s="2"/>
      <c r="AD218" s="28"/>
      <c r="AU218" s="2"/>
      <c r="AV218" s="28"/>
      <c r="AW218" s="2"/>
      <c r="AX218" s="28"/>
      <c r="AY218" s="2"/>
      <c r="AZ218" s="28"/>
      <c r="BE218" s="2"/>
      <c r="BF218" s="28"/>
      <c r="BG218" s="2"/>
      <c r="BH218" s="28"/>
      <c r="BK218" s="2"/>
      <c r="BL218" s="28"/>
      <c r="BV218" s="30"/>
    </row>
    <row r="219" spans="1:74">
      <c r="A219" s="20" t="str">
        <f t="shared" si="9"/>
        <v/>
      </c>
      <c r="B219" s="23" t="s">
        <v>65</v>
      </c>
      <c r="C219" s="122"/>
      <c r="D219" s="116" t="s">
        <v>66</v>
      </c>
      <c r="E219" s="113"/>
      <c r="F219" s="116" t="s">
        <v>67</v>
      </c>
      <c r="G219" s="201"/>
      <c r="H219" s="116" t="s">
        <v>68</v>
      </c>
      <c r="I219" s="214">
        <f t="shared" si="10"/>
        <v>0</v>
      </c>
      <c r="J219" s="116" t="s">
        <v>48</v>
      </c>
      <c r="K219" s="115"/>
      <c r="L219" s="116" t="s">
        <v>69</v>
      </c>
      <c r="M219" s="115"/>
      <c r="N219" s="28" t="s">
        <v>51</v>
      </c>
      <c r="O219" s="20"/>
      <c r="P219" s="28"/>
      <c r="Q219" s="2"/>
      <c r="R219" s="28"/>
      <c r="S219" s="2"/>
      <c r="T219" s="28"/>
      <c r="U219" s="2"/>
      <c r="V219" s="28"/>
      <c r="W219" s="2"/>
      <c r="X219" s="28"/>
      <c r="AA219" s="2"/>
      <c r="AB219" s="28"/>
      <c r="AC219" s="2"/>
      <c r="AD219" s="28"/>
      <c r="AU219" s="2"/>
      <c r="AV219" s="28"/>
      <c r="AW219" s="2"/>
      <c r="AX219" s="28"/>
      <c r="AY219" s="2"/>
      <c r="AZ219" s="28"/>
      <c r="BE219" s="2"/>
      <c r="BF219" s="28"/>
      <c r="BG219" s="2"/>
      <c r="BH219" s="28"/>
      <c r="BK219" s="2"/>
      <c r="BL219" s="28"/>
      <c r="BV219" s="30"/>
    </row>
    <row r="220" spans="1:74">
      <c r="A220" s="20" t="str">
        <f t="shared" si="9"/>
        <v/>
      </c>
      <c r="B220" s="23" t="s">
        <v>65</v>
      </c>
      <c r="C220" s="122"/>
      <c r="D220" s="116" t="s">
        <v>66</v>
      </c>
      <c r="E220" s="113"/>
      <c r="F220" s="116" t="s">
        <v>67</v>
      </c>
      <c r="G220" s="201"/>
      <c r="H220" s="116" t="s">
        <v>68</v>
      </c>
      <c r="I220" s="214">
        <f t="shared" si="10"/>
        <v>0</v>
      </c>
      <c r="J220" s="116" t="s">
        <v>48</v>
      </c>
      <c r="K220" s="115"/>
      <c r="L220" s="116" t="s">
        <v>69</v>
      </c>
      <c r="M220" s="115"/>
      <c r="N220" s="28" t="s">
        <v>51</v>
      </c>
      <c r="O220" s="20"/>
      <c r="P220" s="28"/>
      <c r="Q220" s="2"/>
      <c r="R220" s="28"/>
      <c r="S220" s="2"/>
      <c r="T220" s="28"/>
      <c r="U220" s="2"/>
      <c r="V220" s="28"/>
      <c r="W220" s="2"/>
      <c r="X220" s="28"/>
      <c r="AA220" s="2"/>
      <c r="AB220" s="28"/>
      <c r="AC220" s="2"/>
      <c r="AD220" s="28"/>
      <c r="AU220" s="2"/>
      <c r="AV220" s="28"/>
      <c r="AW220" s="2"/>
      <c r="AX220" s="28"/>
      <c r="AY220" s="2"/>
      <c r="AZ220" s="28"/>
      <c r="BE220" s="2"/>
      <c r="BF220" s="28"/>
      <c r="BG220" s="2"/>
      <c r="BH220" s="28"/>
      <c r="BK220" s="2"/>
      <c r="BL220" s="28"/>
      <c r="BV220" s="30"/>
    </row>
    <row r="221" spans="1:74">
      <c r="A221" s="20" t="str">
        <f t="shared" si="9"/>
        <v/>
      </c>
      <c r="B221" s="23" t="s">
        <v>65</v>
      </c>
      <c r="C221" s="122"/>
      <c r="D221" s="116" t="s">
        <v>66</v>
      </c>
      <c r="E221" s="113"/>
      <c r="F221" s="116" t="s">
        <v>67</v>
      </c>
      <c r="G221" s="201"/>
      <c r="H221" s="116" t="s">
        <v>68</v>
      </c>
      <c r="I221" s="214">
        <f t="shared" si="10"/>
        <v>0</v>
      </c>
      <c r="J221" s="116" t="s">
        <v>48</v>
      </c>
      <c r="K221" s="115"/>
      <c r="L221" s="116" t="s">
        <v>69</v>
      </c>
      <c r="M221" s="115"/>
      <c r="N221" s="28" t="s">
        <v>51</v>
      </c>
      <c r="O221" s="20"/>
      <c r="P221" s="28"/>
      <c r="Q221" s="2"/>
      <c r="R221" s="28"/>
      <c r="S221" s="2"/>
      <c r="T221" s="28"/>
      <c r="U221" s="2"/>
      <c r="V221" s="28"/>
      <c r="W221" s="2"/>
      <c r="X221" s="28"/>
      <c r="AA221" s="2"/>
      <c r="AB221" s="28"/>
      <c r="AC221" s="2"/>
      <c r="AD221" s="28"/>
      <c r="AU221" s="2"/>
      <c r="AV221" s="28"/>
      <c r="AW221" s="2"/>
      <c r="AX221" s="28"/>
      <c r="AY221" s="2"/>
      <c r="AZ221" s="28"/>
      <c r="BE221" s="2"/>
      <c r="BF221" s="28"/>
      <c r="BG221" s="2"/>
      <c r="BH221" s="28"/>
      <c r="BK221" s="2"/>
      <c r="BL221" s="28"/>
      <c r="BV221" s="30"/>
    </row>
    <row r="222" spans="1:74">
      <c r="A222" s="20" t="str">
        <f t="shared" si="9"/>
        <v/>
      </c>
      <c r="B222" s="23" t="s">
        <v>65</v>
      </c>
      <c r="C222" s="122"/>
      <c r="D222" s="116" t="s">
        <v>66</v>
      </c>
      <c r="E222" s="113"/>
      <c r="F222" s="116" t="s">
        <v>67</v>
      </c>
      <c r="G222" s="201"/>
      <c r="H222" s="116" t="s">
        <v>68</v>
      </c>
      <c r="I222" s="214">
        <f t="shared" si="10"/>
        <v>0</v>
      </c>
      <c r="J222" s="116" t="s">
        <v>48</v>
      </c>
      <c r="K222" s="115"/>
      <c r="L222" s="116" t="s">
        <v>69</v>
      </c>
      <c r="M222" s="115"/>
      <c r="N222" s="28" t="s">
        <v>51</v>
      </c>
      <c r="O222" s="20"/>
      <c r="P222" s="28"/>
      <c r="Q222" s="2"/>
      <c r="R222" s="28"/>
      <c r="S222" s="2"/>
      <c r="T222" s="28"/>
      <c r="U222" s="2"/>
      <c r="V222" s="28"/>
      <c r="W222" s="2"/>
      <c r="X222" s="28"/>
      <c r="AA222" s="2"/>
      <c r="AB222" s="28"/>
      <c r="AC222" s="2"/>
      <c r="AD222" s="28"/>
      <c r="AU222" s="2"/>
      <c r="AV222" s="28"/>
      <c r="AW222" s="2"/>
      <c r="AX222" s="28"/>
      <c r="AY222" s="2"/>
      <c r="AZ222" s="28"/>
      <c r="BE222" s="2"/>
      <c r="BF222" s="28"/>
      <c r="BG222" s="2"/>
      <c r="BH222" s="28"/>
      <c r="BK222" s="2"/>
      <c r="BL222" s="28"/>
      <c r="BV222" s="30"/>
    </row>
    <row r="223" spans="1:74">
      <c r="A223" s="20" t="str">
        <f t="shared" si="9"/>
        <v/>
      </c>
      <c r="B223" s="23" t="s">
        <v>65</v>
      </c>
      <c r="C223" s="122"/>
      <c r="D223" s="116" t="s">
        <v>66</v>
      </c>
      <c r="E223" s="113"/>
      <c r="F223" s="116" t="s">
        <v>67</v>
      </c>
      <c r="G223" s="201"/>
      <c r="H223" s="116" t="s">
        <v>68</v>
      </c>
      <c r="I223" s="214">
        <f t="shared" si="10"/>
        <v>0</v>
      </c>
      <c r="J223" s="116" t="s">
        <v>48</v>
      </c>
      <c r="K223" s="115"/>
      <c r="L223" s="116" t="s">
        <v>69</v>
      </c>
      <c r="M223" s="115"/>
      <c r="N223" s="28" t="s">
        <v>51</v>
      </c>
      <c r="O223" s="20"/>
      <c r="P223" s="28"/>
      <c r="Q223" s="2"/>
      <c r="R223" s="28"/>
      <c r="S223" s="2"/>
      <c r="T223" s="28"/>
      <c r="U223" s="2"/>
      <c r="V223" s="28"/>
      <c r="W223" s="2"/>
      <c r="X223" s="28"/>
      <c r="AA223" s="2"/>
      <c r="AB223" s="28"/>
      <c r="AC223" s="2"/>
      <c r="AD223" s="28"/>
      <c r="AU223" s="2"/>
      <c r="AV223" s="28"/>
      <c r="AW223" s="2"/>
      <c r="AX223" s="28"/>
      <c r="AY223" s="2"/>
      <c r="AZ223" s="28"/>
      <c r="BE223" s="2"/>
      <c r="BF223" s="28"/>
      <c r="BG223" s="2"/>
      <c r="BH223" s="28"/>
      <c r="BK223" s="2"/>
      <c r="BL223" s="28"/>
      <c r="BV223" s="30"/>
    </row>
    <row r="224" spans="1:74">
      <c r="A224" s="20" t="str">
        <f t="shared" si="9"/>
        <v/>
      </c>
      <c r="B224" s="23" t="s">
        <v>65</v>
      </c>
      <c r="C224" s="122"/>
      <c r="D224" s="116" t="s">
        <v>66</v>
      </c>
      <c r="E224" s="113"/>
      <c r="F224" s="116" t="s">
        <v>67</v>
      </c>
      <c r="G224" s="201"/>
      <c r="H224" s="116" t="s">
        <v>68</v>
      </c>
      <c r="I224" s="214">
        <f t="shared" si="10"/>
        <v>0</v>
      </c>
      <c r="J224" s="116" t="s">
        <v>48</v>
      </c>
      <c r="K224" s="115"/>
      <c r="L224" s="116" t="s">
        <v>69</v>
      </c>
      <c r="M224" s="115"/>
      <c r="N224" s="28" t="s">
        <v>51</v>
      </c>
      <c r="O224" s="20"/>
      <c r="P224" s="28"/>
      <c r="Q224" s="2"/>
      <c r="R224" s="28"/>
      <c r="S224" s="2"/>
      <c r="T224" s="28"/>
      <c r="U224" s="2"/>
      <c r="V224" s="28"/>
      <c r="W224" s="2"/>
      <c r="X224" s="28"/>
      <c r="AA224" s="2"/>
      <c r="AB224" s="28"/>
      <c r="AC224" s="2"/>
      <c r="AD224" s="28"/>
      <c r="AU224" s="2"/>
      <c r="AV224" s="28"/>
      <c r="AW224" s="2"/>
      <c r="AX224" s="28"/>
      <c r="AY224" s="2"/>
      <c r="AZ224" s="28"/>
      <c r="BE224" s="2"/>
      <c r="BF224" s="28"/>
      <c r="BG224" s="2"/>
      <c r="BH224" s="28"/>
      <c r="BK224" s="2"/>
      <c r="BL224" s="28"/>
      <c r="BV224" s="30"/>
    </row>
    <row r="225" spans="1:74">
      <c r="A225" s="20" t="str">
        <f t="shared" si="9"/>
        <v/>
      </c>
      <c r="B225" s="23" t="s">
        <v>65</v>
      </c>
      <c r="C225" s="122"/>
      <c r="D225" s="116" t="s">
        <v>66</v>
      </c>
      <c r="E225" s="113"/>
      <c r="F225" s="116" t="s">
        <v>67</v>
      </c>
      <c r="G225" s="201"/>
      <c r="H225" s="116" t="s">
        <v>68</v>
      </c>
      <c r="I225" s="214">
        <f t="shared" si="10"/>
        <v>0</v>
      </c>
      <c r="J225" s="116" t="s">
        <v>48</v>
      </c>
      <c r="K225" s="115"/>
      <c r="L225" s="116" t="s">
        <v>69</v>
      </c>
      <c r="M225" s="115"/>
      <c r="N225" s="28" t="s">
        <v>51</v>
      </c>
      <c r="O225" s="20"/>
      <c r="P225" s="28"/>
      <c r="Q225" s="2"/>
      <c r="R225" s="28"/>
      <c r="S225" s="2"/>
      <c r="T225" s="28"/>
      <c r="U225" s="2"/>
      <c r="V225" s="28"/>
      <c r="W225" s="2"/>
      <c r="X225" s="28"/>
      <c r="AA225" s="2"/>
      <c r="AB225" s="28"/>
      <c r="AC225" s="2"/>
      <c r="AD225" s="28"/>
      <c r="AU225" s="2"/>
      <c r="AV225" s="28"/>
      <c r="AW225" s="2"/>
      <c r="AX225" s="28"/>
      <c r="AY225" s="2"/>
      <c r="AZ225" s="28"/>
      <c r="BE225" s="2"/>
      <c r="BF225" s="28"/>
      <c r="BG225" s="2"/>
      <c r="BH225" s="28"/>
      <c r="BK225" s="2"/>
      <c r="BL225" s="28"/>
      <c r="BV225" s="30"/>
    </row>
    <row r="226" spans="1:74">
      <c r="A226" s="20" t="str">
        <f t="shared" si="9"/>
        <v/>
      </c>
      <c r="B226" s="23" t="s">
        <v>65</v>
      </c>
      <c r="C226" s="122"/>
      <c r="D226" s="116" t="s">
        <v>66</v>
      </c>
      <c r="E226" s="113"/>
      <c r="F226" s="116" t="s">
        <v>67</v>
      </c>
      <c r="G226" s="201"/>
      <c r="H226" s="116" t="s">
        <v>68</v>
      </c>
      <c r="I226" s="214">
        <f t="shared" si="10"/>
        <v>0</v>
      </c>
      <c r="J226" s="116" t="s">
        <v>48</v>
      </c>
      <c r="K226" s="115"/>
      <c r="L226" s="116" t="s">
        <v>69</v>
      </c>
      <c r="M226" s="115"/>
      <c r="N226" s="28" t="s">
        <v>51</v>
      </c>
      <c r="O226" s="20"/>
      <c r="P226" s="28"/>
      <c r="Q226" s="2"/>
      <c r="R226" s="28"/>
      <c r="S226" s="2"/>
      <c r="T226" s="28"/>
      <c r="U226" s="2"/>
      <c r="V226" s="28"/>
      <c r="W226" s="2"/>
      <c r="X226" s="28"/>
      <c r="AA226" s="2"/>
      <c r="AB226" s="28"/>
      <c r="AC226" s="2"/>
      <c r="AD226" s="28"/>
      <c r="AU226" s="2"/>
      <c r="AV226" s="28"/>
      <c r="AW226" s="2"/>
      <c r="AX226" s="28"/>
      <c r="AY226" s="2"/>
      <c r="AZ226" s="28"/>
      <c r="BE226" s="2"/>
      <c r="BF226" s="28"/>
      <c r="BG226" s="2"/>
      <c r="BH226" s="28"/>
      <c r="BK226" s="2"/>
      <c r="BL226" s="28"/>
      <c r="BV226" s="30"/>
    </row>
    <row r="227" spans="1:74">
      <c r="A227" s="20" t="str">
        <f t="shared" si="9"/>
        <v/>
      </c>
      <c r="B227" s="23" t="s">
        <v>65</v>
      </c>
      <c r="C227" s="122"/>
      <c r="D227" s="116" t="s">
        <v>66</v>
      </c>
      <c r="E227" s="113"/>
      <c r="F227" s="116" t="s">
        <v>67</v>
      </c>
      <c r="G227" s="201"/>
      <c r="H227" s="116" t="s">
        <v>68</v>
      </c>
      <c r="I227" s="214">
        <f t="shared" si="10"/>
        <v>0</v>
      </c>
      <c r="J227" s="116" t="s">
        <v>48</v>
      </c>
      <c r="K227" s="115"/>
      <c r="L227" s="116" t="s">
        <v>69</v>
      </c>
      <c r="M227" s="115"/>
      <c r="N227" s="28" t="s">
        <v>51</v>
      </c>
      <c r="O227" s="20"/>
      <c r="P227" s="28"/>
      <c r="Q227" s="2"/>
      <c r="R227" s="28"/>
      <c r="S227" s="2"/>
      <c r="T227" s="28"/>
      <c r="U227" s="2"/>
      <c r="V227" s="28"/>
      <c r="W227" s="2"/>
      <c r="X227" s="28"/>
      <c r="AA227" s="2"/>
      <c r="AB227" s="28"/>
      <c r="AC227" s="2"/>
      <c r="AD227" s="28"/>
      <c r="AU227" s="2"/>
      <c r="AV227" s="28"/>
      <c r="AW227" s="2"/>
      <c r="AX227" s="28"/>
      <c r="AY227" s="2"/>
      <c r="AZ227" s="28"/>
      <c r="BE227" s="2"/>
      <c r="BF227" s="28"/>
      <c r="BG227" s="2"/>
      <c r="BH227" s="28"/>
      <c r="BK227" s="2"/>
      <c r="BL227" s="28"/>
      <c r="BV227" s="30"/>
    </row>
    <row r="228" spans="1:74">
      <c r="A228" s="20" t="str">
        <f t="shared" si="9"/>
        <v/>
      </c>
      <c r="B228" s="23" t="s">
        <v>65</v>
      </c>
      <c r="C228" s="122"/>
      <c r="D228" s="116" t="s">
        <v>66</v>
      </c>
      <c r="E228" s="113"/>
      <c r="F228" s="116" t="s">
        <v>67</v>
      </c>
      <c r="G228" s="201"/>
      <c r="H228" s="116" t="s">
        <v>68</v>
      </c>
      <c r="I228" s="214">
        <f t="shared" si="10"/>
        <v>0</v>
      </c>
      <c r="J228" s="116" t="s">
        <v>48</v>
      </c>
      <c r="K228" s="115"/>
      <c r="L228" s="116" t="s">
        <v>69</v>
      </c>
      <c r="M228" s="115"/>
      <c r="N228" s="28" t="s">
        <v>51</v>
      </c>
      <c r="O228" s="20"/>
      <c r="P228" s="28"/>
      <c r="Q228" s="2"/>
      <c r="R228" s="28"/>
      <c r="S228" s="2"/>
      <c r="T228" s="28"/>
      <c r="U228" s="2"/>
      <c r="V228" s="28"/>
      <c r="W228" s="2"/>
      <c r="X228" s="28"/>
      <c r="AA228" s="2"/>
      <c r="AB228" s="28"/>
      <c r="AC228" s="2"/>
      <c r="AD228" s="28"/>
      <c r="AU228" s="2"/>
      <c r="AV228" s="28"/>
      <c r="AW228" s="2"/>
      <c r="AX228" s="28"/>
      <c r="AY228" s="2"/>
      <c r="AZ228" s="28"/>
      <c r="BE228" s="2"/>
      <c r="BF228" s="28"/>
      <c r="BG228" s="2"/>
      <c r="BH228" s="28"/>
      <c r="BK228" s="2"/>
      <c r="BL228" s="28"/>
      <c r="BV228" s="30"/>
    </row>
    <row r="229" spans="1:74">
      <c r="A229" s="20" t="str">
        <f t="shared" si="9"/>
        <v/>
      </c>
      <c r="B229" s="23" t="s">
        <v>65</v>
      </c>
      <c r="C229" s="122"/>
      <c r="D229" s="116" t="s">
        <v>66</v>
      </c>
      <c r="E229" s="113"/>
      <c r="F229" s="116" t="s">
        <v>67</v>
      </c>
      <c r="G229" s="201"/>
      <c r="H229" s="116" t="s">
        <v>68</v>
      </c>
      <c r="I229" s="214">
        <f t="shared" si="10"/>
        <v>0</v>
      </c>
      <c r="J229" s="116" t="s">
        <v>48</v>
      </c>
      <c r="K229" s="115"/>
      <c r="L229" s="116" t="s">
        <v>69</v>
      </c>
      <c r="M229" s="115"/>
      <c r="N229" s="28" t="s">
        <v>51</v>
      </c>
      <c r="O229" s="20"/>
      <c r="P229" s="28"/>
      <c r="Q229" s="2"/>
      <c r="R229" s="28"/>
      <c r="S229" s="2"/>
      <c r="T229" s="28"/>
      <c r="U229" s="2"/>
      <c r="V229" s="28"/>
      <c r="W229" s="2"/>
      <c r="X229" s="28"/>
      <c r="AA229" s="2"/>
      <c r="AB229" s="28"/>
      <c r="AC229" s="2"/>
      <c r="AD229" s="28"/>
      <c r="AU229" s="2"/>
      <c r="AV229" s="28"/>
      <c r="AW229" s="2"/>
      <c r="AX229" s="28"/>
      <c r="AY229" s="2"/>
      <c r="AZ229" s="28"/>
      <c r="BE229" s="2"/>
      <c r="BF229" s="28"/>
      <c r="BG229" s="2"/>
      <c r="BH229" s="28"/>
      <c r="BK229" s="2"/>
      <c r="BL229" s="28"/>
      <c r="BV229" s="30"/>
    </row>
    <row r="230" spans="1:74">
      <c r="A230" s="20" t="str">
        <f t="shared" si="9"/>
        <v/>
      </c>
      <c r="B230" s="23" t="s">
        <v>65</v>
      </c>
      <c r="C230" s="122"/>
      <c r="D230" s="116" t="s">
        <v>66</v>
      </c>
      <c r="E230" s="113"/>
      <c r="F230" s="116" t="s">
        <v>67</v>
      </c>
      <c r="G230" s="201"/>
      <c r="H230" s="116" t="s">
        <v>68</v>
      </c>
      <c r="I230" s="214">
        <f t="shared" si="10"/>
        <v>0</v>
      </c>
      <c r="J230" s="116" t="s">
        <v>48</v>
      </c>
      <c r="K230" s="115"/>
      <c r="L230" s="116" t="s">
        <v>69</v>
      </c>
      <c r="M230" s="115"/>
      <c r="N230" s="28" t="s">
        <v>51</v>
      </c>
      <c r="O230" s="20"/>
      <c r="P230" s="28"/>
      <c r="Q230" s="2"/>
      <c r="R230" s="28"/>
      <c r="S230" s="2"/>
      <c r="T230" s="28"/>
      <c r="U230" s="2"/>
      <c r="V230" s="28"/>
      <c r="W230" s="2"/>
      <c r="X230" s="28"/>
      <c r="AA230" s="2"/>
      <c r="AB230" s="28"/>
      <c r="AC230" s="2"/>
      <c r="AD230" s="28"/>
      <c r="AU230" s="2"/>
      <c r="AV230" s="28"/>
      <c r="AW230" s="2"/>
      <c r="AX230" s="28"/>
      <c r="AY230" s="2"/>
      <c r="AZ230" s="28"/>
      <c r="BE230" s="2"/>
      <c r="BF230" s="28"/>
      <c r="BG230" s="2"/>
      <c r="BH230" s="28"/>
      <c r="BK230" s="2"/>
      <c r="BL230" s="28"/>
      <c r="BV230" s="30"/>
    </row>
    <row r="231" spans="1:74">
      <c r="C231" s="2"/>
      <c r="D231" s="28"/>
      <c r="E231" s="2"/>
      <c r="F231" s="28"/>
      <c r="G231" s="2"/>
      <c r="H231" s="28"/>
      <c r="I231" s="2"/>
      <c r="J231" s="28"/>
      <c r="K231" s="2"/>
      <c r="L231" s="28"/>
      <c r="M231" s="2"/>
      <c r="N231" s="28"/>
      <c r="O231" s="2"/>
      <c r="P231" s="28"/>
      <c r="Q231" s="2"/>
      <c r="R231" s="28"/>
      <c r="S231" s="2"/>
      <c r="T231" s="28"/>
      <c r="U231" s="2"/>
      <c r="V231" s="28"/>
      <c r="W231" s="2"/>
      <c r="X231" s="28"/>
      <c r="AA231" s="2"/>
      <c r="AB231" s="28"/>
      <c r="AC231" s="2"/>
      <c r="AD231" s="28"/>
      <c r="AU231" s="2"/>
      <c r="AV231" s="28"/>
      <c r="AW231" s="2"/>
      <c r="AX231" s="28"/>
      <c r="AY231" s="2"/>
      <c r="AZ231" s="28"/>
      <c r="BE231" s="2"/>
      <c r="BF231" s="28"/>
      <c r="BG231" s="2"/>
      <c r="BH231" s="28"/>
      <c r="BK231" s="2"/>
      <c r="BL231" s="28"/>
      <c r="BV231" s="30"/>
    </row>
    <row r="232" spans="1:74">
      <c r="C232" s="2"/>
      <c r="D232" s="28"/>
      <c r="E232" s="2"/>
      <c r="F232" s="28"/>
      <c r="G232" s="2"/>
      <c r="H232" s="28"/>
      <c r="I232" s="2"/>
      <c r="J232" s="28"/>
      <c r="K232" s="2"/>
      <c r="L232" s="28"/>
      <c r="M232" s="2"/>
      <c r="N232" s="28"/>
      <c r="O232" s="2"/>
      <c r="P232" s="28"/>
      <c r="Q232" s="2"/>
      <c r="R232" s="28"/>
      <c r="S232" s="2"/>
      <c r="T232" s="28"/>
      <c r="U232" s="2"/>
      <c r="V232" s="28"/>
      <c r="W232" s="2"/>
      <c r="X232" s="28"/>
      <c r="AA232" s="2"/>
      <c r="AB232" s="28"/>
      <c r="AC232" s="2"/>
      <c r="AD232" s="28"/>
      <c r="AU232" s="2"/>
      <c r="AV232" s="28"/>
      <c r="AW232" s="2"/>
      <c r="AX232" s="28"/>
      <c r="AY232" s="2"/>
      <c r="AZ232" s="28"/>
      <c r="BE232" s="2"/>
      <c r="BF232" s="28"/>
      <c r="BG232" s="2"/>
      <c r="BH232" s="28"/>
      <c r="BK232" s="2"/>
      <c r="BL232" s="28"/>
      <c r="BV232" s="30"/>
    </row>
    <row r="233" spans="1:74">
      <c r="C233" s="2"/>
      <c r="D233" s="28"/>
      <c r="E233" s="2"/>
      <c r="F233" s="28"/>
      <c r="G233" s="2"/>
      <c r="H233" s="28"/>
      <c r="I233" s="2"/>
      <c r="J233" s="28"/>
      <c r="K233" s="2"/>
      <c r="L233" s="28"/>
      <c r="M233" s="2"/>
      <c r="N233" s="28"/>
      <c r="O233" s="2"/>
      <c r="P233" s="28"/>
      <c r="Q233" s="2"/>
      <c r="R233" s="28"/>
      <c r="S233" s="2"/>
      <c r="T233" s="28"/>
      <c r="U233" s="2"/>
      <c r="V233" s="28"/>
      <c r="W233" s="2"/>
      <c r="X233" s="28"/>
      <c r="AA233" s="2"/>
      <c r="AB233" s="28"/>
      <c r="AC233" s="2"/>
      <c r="AD233" s="28"/>
      <c r="AU233" s="2"/>
      <c r="AV233" s="28"/>
      <c r="AW233" s="2"/>
      <c r="AX233" s="28"/>
      <c r="AY233" s="2"/>
      <c r="AZ233" s="28"/>
      <c r="BE233" s="2"/>
      <c r="BF233" s="28"/>
      <c r="BG233" s="2"/>
      <c r="BH233" s="28"/>
      <c r="BK233" s="2"/>
      <c r="BL233" s="28"/>
      <c r="BV233" s="30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127">
    <mergeCell ref="C14:O14"/>
    <mergeCell ref="C15:O15"/>
    <mergeCell ref="C16:O16"/>
    <mergeCell ref="C45:O45"/>
    <mergeCell ref="C23:O23"/>
    <mergeCell ref="C34:O34"/>
    <mergeCell ref="C35:O35"/>
    <mergeCell ref="C28:O28"/>
    <mergeCell ref="C29:O29"/>
    <mergeCell ref="C40:O40"/>
    <mergeCell ref="C38:Q38"/>
    <mergeCell ref="C49:O49"/>
    <mergeCell ref="C50:O50"/>
    <mergeCell ref="C51:O51"/>
    <mergeCell ref="C70:O70"/>
    <mergeCell ref="C5:O5"/>
    <mergeCell ref="C6:O6"/>
    <mergeCell ref="C7:O7"/>
    <mergeCell ref="C8:O8"/>
    <mergeCell ref="C9:O9"/>
    <mergeCell ref="C10:O10"/>
    <mergeCell ref="C41:O41"/>
    <mergeCell ref="C52:O52"/>
    <mergeCell ref="C53:O53"/>
    <mergeCell ref="C47:O47"/>
    <mergeCell ref="C48:O48"/>
    <mergeCell ref="C21:O21"/>
    <mergeCell ref="C19:O19"/>
    <mergeCell ref="C20:O20"/>
    <mergeCell ref="C22:O22"/>
    <mergeCell ref="C17:O17"/>
    <mergeCell ref="C18:O18"/>
    <mergeCell ref="C11:O11"/>
    <mergeCell ref="C12:O12"/>
    <mergeCell ref="C13:O13"/>
    <mergeCell ref="C73:O73"/>
    <mergeCell ref="C61:O61"/>
    <mergeCell ref="C62:O62"/>
    <mergeCell ref="C63:O63"/>
    <mergeCell ref="C64:O64"/>
    <mergeCell ref="C68:O68"/>
    <mergeCell ref="C69:O69"/>
    <mergeCell ref="C66:O66"/>
    <mergeCell ref="C54:O54"/>
    <mergeCell ref="C58:O58"/>
    <mergeCell ref="C59:O59"/>
    <mergeCell ref="C60:O60"/>
    <mergeCell ref="C56:O56"/>
    <mergeCell ref="C80:O80"/>
    <mergeCell ref="C84:O84"/>
    <mergeCell ref="C85:O85"/>
    <mergeCell ref="C86:O86"/>
    <mergeCell ref="C87:O87"/>
    <mergeCell ref="C88:O88"/>
    <mergeCell ref="C82:O82"/>
    <mergeCell ref="C100:AA100"/>
    <mergeCell ref="C75:O75"/>
    <mergeCell ref="C76:O76"/>
    <mergeCell ref="C77:O77"/>
    <mergeCell ref="C78:O78"/>
    <mergeCell ref="C79:O79"/>
    <mergeCell ref="C103:O103"/>
    <mergeCell ref="C104:O104"/>
    <mergeCell ref="C109:O109"/>
    <mergeCell ref="C110:O110"/>
    <mergeCell ref="C114:O114"/>
    <mergeCell ref="C115:O115"/>
    <mergeCell ref="C89:O89"/>
    <mergeCell ref="C90:O90"/>
    <mergeCell ref="C95:O95"/>
    <mergeCell ref="C96:O96"/>
    <mergeCell ref="C97:O97"/>
    <mergeCell ref="C102:O102"/>
    <mergeCell ref="C151:O151"/>
    <mergeCell ref="C157:O157"/>
    <mergeCell ref="C116:O116"/>
    <mergeCell ref="C117:O117"/>
    <mergeCell ref="C118:O118"/>
    <mergeCell ref="C119:O119"/>
    <mergeCell ref="C120:O120"/>
    <mergeCell ref="C125:O125"/>
    <mergeCell ref="C123:O123"/>
    <mergeCell ref="C3:O3"/>
    <mergeCell ref="C32:O32"/>
    <mergeCell ref="C26:O26"/>
    <mergeCell ref="C112:O112"/>
    <mergeCell ref="C107:O107"/>
    <mergeCell ref="C93:O93"/>
    <mergeCell ref="C160:O160"/>
    <mergeCell ref="C135:O135"/>
    <mergeCell ref="C136:O136"/>
    <mergeCell ref="C137:O137"/>
    <mergeCell ref="C141:O141"/>
    <mergeCell ref="C142:O142"/>
    <mergeCell ref="C147:O147"/>
    <mergeCell ref="C139:O139"/>
    <mergeCell ref="C145:O145"/>
    <mergeCell ref="C126:O126"/>
    <mergeCell ref="C127:O127"/>
    <mergeCell ref="C131:O131"/>
    <mergeCell ref="C132:O132"/>
    <mergeCell ref="C133:O133"/>
    <mergeCell ref="C134:O134"/>
    <mergeCell ref="C129:O129"/>
    <mergeCell ref="C148:O148"/>
    <mergeCell ref="C149:O149"/>
    <mergeCell ref="BK200:CC200"/>
    <mergeCell ref="C204:M204"/>
    <mergeCell ref="C171:BK171"/>
    <mergeCell ref="C172:K172"/>
    <mergeCell ref="M172:W172"/>
    <mergeCell ref="Y172:AK172"/>
    <mergeCell ref="AM172:AO172"/>
    <mergeCell ref="AQ172:AY172"/>
    <mergeCell ref="BA172:BI172"/>
    <mergeCell ref="BM172:BO172"/>
    <mergeCell ref="BY172:CA172"/>
    <mergeCell ref="C164:O164"/>
    <mergeCell ref="C165:O165"/>
    <mergeCell ref="C166:O166"/>
    <mergeCell ref="C162:O162"/>
    <mergeCell ref="C153:O153"/>
    <mergeCell ref="C200:Q200"/>
    <mergeCell ref="W200:AK200"/>
    <mergeCell ref="C154:O154"/>
    <mergeCell ref="C155:O155"/>
    <mergeCell ref="C159:O159"/>
  </mergeCells>
  <phoneticPr fontId="1" type="noConversion"/>
  <conditionalFormatting sqref="C171">
    <cfRule type="containsText" dxfId="0" priority="1" operator="containsText" text="1">
      <formula>NOT(ISERROR(SEARCH("1",C171)))</formula>
    </cfRule>
  </conditionalFormatting>
  <dataValidations count="2">
    <dataValidation type="list" errorStyle="warning" allowBlank="1" showInputMessage="1" showErrorMessage="1" errorTitle="Unbekannter Umsatzsteuersatz" error="Sie haben einen unbekannten Umsatzsteuersatz angegeben. Möchten Sie trotzdem fortfahren klicken Sie bitte auf &quot;Ja&quot;." promptTitle="Umsatzsteuer" prompt="Bitte wählen sie die gewünschte Umsatzsteuer aus." sqref="K202 AE202" xr:uid="{12EA2665-A075-4307-8B22-FBFAFE9B62EB}">
      <formula1>$BQ$6:$BQ$8</formula1>
    </dataValidation>
    <dataValidation type="list" errorStyle="warning" allowBlank="1" showInputMessage="1" showErrorMessage="1" errorTitle="Unbekannter Umsatzsteuersatz" error="Sie haben einen unbekannten Umsatzsteuersatz angegeben. Möchten Sie trotzdem fortfahren klicken Sie bitte auf &quot;Ja&quot;." promptTitle="Umsatzsteuer" prompt="Bitte wählen sie die gewünschte Umsatzsteuer aus." sqref="BO174:BO198 G206:G230" xr:uid="{0E6A74FB-2A18-47F1-9A10-BE951FA462B2}">
      <formula1>$BQ$174:$BQ$176</formula1>
    </dataValidation>
  </dataValidations>
  <pageMargins left="0.7" right="0.7" top="0.78740157499999996" bottom="0.78740157499999996" header="0.3" footer="0.3"/>
  <pageSetup paperSize="0" orientation="portrait" horizontalDpi="4294967292" verticalDpi="4294967292"/>
  <extLst>
    <ext xmlns:mx="http://schemas.microsoft.com/office/mac/excel/2008/main" uri="http://schemas.microsoft.com/office/mac/excel/2008/main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Rechnungsvorlage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Rechnungsvorlage XRechnung</dc:title>
  <dc:creator>Moritz Burger, Hannah Gürsching</dc:creator>
  <cp:lastModifiedBy>Moritz</cp:lastModifiedBy>
  <dcterms:created xsi:type="dcterms:W3CDTF">2019-12-09T13:06:28Z</dcterms:created>
  <dcterms:modified xsi:type="dcterms:W3CDTF">2020-03-13T14:03:51Z</dcterms:modified>
</cp:coreProperties>
</file>